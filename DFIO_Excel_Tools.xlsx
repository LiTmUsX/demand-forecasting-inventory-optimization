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0B9B3EB-C3CC-4340-BD9A-0A99D8297E14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ReadMe" sheetId="1" r:id="rId1"/>
    <sheet name="Data - SKU Detail" sheetId="2" r:id="rId2"/>
    <sheet name="Sensitivity Calculator" sheetId="3" r:id="rId3"/>
    <sheet name="EOQ Solver Demo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4" l="1"/>
  <c r="G9" i="4"/>
  <c r="F9" i="4"/>
  <c r="H9" i="4" s="1"/>
  <c r="I8" i="4"/>
  <c r="G8" i="4"/>
  <c r="F8" i="4"/>
  <c r="H8" i="4" s="1"/>
  <c r="I7" i="4"/>
  <c r="G7" i="4"/>
  <c r="F7" i="4"/>
  <c r="H7" i="4" s="1"/>
  <c r="I6" i="4"/>
  <c r="G6" i="4"/>
  <c r="F6" i="4"/>
  <c r="H6" i="4" s="1"/>
  <c r="I5" i="4"/>
  <c r="G5" i="4"/>
  <c r="F5" i="4"/>
  <c r="H5" i="4" s="1"/>
  <c r="B11" i="4" s="1"/>
  <c r="H512" i="3"/>
  <c r="G512" i="3"/>
  <c r="D512" i="3"/>
  <c r="C512" i="3"/>
  <c r="E512" i="3" s="1"/>
  <c r="B512" i="3"/>
  <c r="A512" i="3"/>
  <c r="H511" i="3"/>
  <c r="G511" i="3"/>
  <c r="E511" i="3"/>
  <c r="F511" i="3" s="1"/>
  <c r="D511" i="3"/>
  <c r="C511" i="3"/>
  <c r="B511" i="3"/>
  <c r="A511" i="3"/>
  <c r="H510" i="3"/>
  <c r="G510" i="3"/>
  <c r="E510" i="3"/>
  <c r="D510" i="3"/>
  <c r="F510" i="3" s="1"/>
  <c r="C510" i="3"/>
  <c r="B510" i="3"/>
  <c r="A510" i="3"/>
  <c r="H509" i="3"/>
  <c r="G509" i="3"/>
  <c r="D509" i="3"/>
  <c r="C509" i="3"/>
  <c r="E509" i="3" s="1"/>
  <c r="B509" i="3"/>
  <c r="A509" i="3"/>
  <c r="H508" i="3"/>
  <c r="G508" i="3"/>
  <c r="F508" i="3"/>
  <c r="D508" i="3"/>
  <c r="C508" i="3"/>
  <c r="E508" i="3" s="1"/>
  <c r="B508" i="3"/>
  <c r="A508" i="3"/>
  <c r="H507" i="3"/>
  <c r="G507" i="3"/>
  <c r="E507" i="3"/>
  <c r="F507" i="3" s="1"/>
  <c r="D507" i="3"/>
  <c r="C507" i="3"/>
  <c r="B507" i="3"/>
  <c r="A507" i="3"/>
  <c r="H506" i="3"/>
  <c r="G506" i="3"/>
  <c r="E506" i="3"/>
  <c r="D506" i="3"/>
  <c r="F506" i="3" s="1"/>
  <c r="C506" i="3"/>
  <c r="B506" i="3"/>
  <c r="A506" i="3"/>
  <c r="H505" i="3"/>
  <c r="G505" i="3"/>
  <c r="D505" i="3"/>
  <c r="C505" i="3"/>
  <c r="E505" i="3" s="1"/>
  <c r="B505" i="3"/>
  <c r="A505" i="3"/>
  <c r="H504" i="3"/>
  <c r="G504" i="3"/>
  <c r="D504" i="3"/>
  <c r="F504" i="3" s="1"/>
  <c r="C504" i="3"/>
  <c r="E504" i="3" s="1"/>
  <c r="B504" i="3"/>
  <c r="A504" i="3"/>
  <c r="H503" i="3"/>
  <c r="G503" i="3"/>
  <c r="D503" i="3"/>
  <c r="C503" i="3"/>
  <c r="E503" i="3" s="1"/>
  <c r="F503" i="3" s="1"/>
  <c r="B503" i="3"/>
  <c r="A503" i="3"/>
  <c r="H502" i="3"/>
  <c r="G502" i="3"/>
  <c r="F502" i="3"/>
  <c r="E502" i="3"/>
  <c r="D502" i="3"/>
  <c r="C502" i="3"/>
  <c r="B502" i="3"/>
  <c r="A502" i="3"/>
  <c r="H501" i="3"/>
  <c r="G501" i="3"/>
  <c r="E501" i="3"/>
  <c r="D501" i="3"/>
  <c r="C501" i="3"/>
  <c r="B501" i="3"/>
  <c r="A501" i="3"/>
  <c r="H500" i="3"/>
  <c r="G500" i="3"/>
  <c r="D500" i="3"/>
  <c r="F500" i="3" s="1"/>
  <c r="C500" i="3"/>
  <c r="E500" i="3" s="1"/>
  <c r="B500" i="3"/>
  <c r="A500" i="3"/>
  <c r="H499" i="3"/>
  <c r="G499" i="3"/>
  <c r="D499" i="3"/>
  <c r="C499" i="3"/>
  <c r="E499" i="3" s="1"/>
  <c r="F499" i="3" s="1"/>
  <c r="B499" i="3"/>
  <c r="A499" i="3"/>
  <c r="H498" i="3"/>
  <c r="G498" i="3"/>
  <c r="F498" i="3"/>
  <c r="E498" i="3"/>
  <c r="D498" i="3"/>
  <c r="C498" i="3"/>
  <c r="B498" i="3"/>
  <c r="A498" i="3"/>
  <c r="H497" i="3"/>
  <c r="G497" i="3"/>
  <c r="E497" i="3"/>
  <c r="D497" i="3"/>
  <c r="F497" i="3" s="1"/>
  <c r="C497" i="3"/>
  <c r="B497" i="3"/>
  <c r="A497" i="3"/>
  <c r="H496" i="3"/>
  <c r="G496" i="3"/>
  <c r="D496" i="3"/>
  <c r="C496" i="3"/>
  <c r="E496" i="3" s="1"/>
  <c r="F496" i="3" s="1"/>
  <c r="B496" i="3"/>
  <c r="A496" i="3"/>
  <c r="H495" i="3"/>
  <c r="G495" i="3"/>
  <c r="E495" i="3"/>
  <c r="F495" i="3" s="1"/>
  <c r="D495" i="3"/>
  <c r="C495" i="3"/>
  <c r="B495" i="3"/>
  <c r="A495" i="3"/>
  <c r="H494" i="3"/>
  <c r="G494" i="3"/>
  <c r="E494" i="3"/>
  <c r="D494" i="3"/>
  <c r="F494" i="3" s="1"/>
  <c r="C494" i="3"/>
  <c r="B494" i="3"/>
  <c r="A494" i="3"/>
  <c r="H493" i="3"/>
  <c r="G493" i="3"/>
  <c r="D493" i="3"/>
  <c r="C493" i="3"/>
  <c r="E493" i="3" s="1"/>
  <c r="B493" i="3"/>
  <c r="A493" i="3"/>
  <c r="H492" i="3"/>
  <c r="G492" i="3"/>
  <c r="F492" i="3"/>
  <c r="D492" i="3"/>
  <c r="C492" i="3"/>
  <c r="E492" i="3" s="1"/>
  <c r="B492" i="3"/>
  <c r="A492" i="3"/>
  <c r="H491" i="3"/>
  <c r="G491" i="3"/>
  <c r="E491" i="3"/>
  <c r="F491" i="3" s="1"/>
  <c r="D491" i="3"/>
  <c r="C491" i="3"/>
  <c r="B491" i="3"/>
  <c r="A491" i="3"/>
  <c r="H490" i="3"/>
  <c r="G490" i="3"/>
  <c r="E490" i="3"/>
  <c r="D490" i="3"/>
  <c r="F490" i="3" s="1"/>
  <c r="C490" i="3"/>
  <c r="B490" i="3"/>
  <c r="A490" i="3"/>
  <c r="H489" i="3"/>
  <c r="G489" i="3"/>
  <c r="D489" i="3"/>
  <c r="C489" i="3"/>
  <c r="E489" i="3" s="1"/>
  <c r="B489" i="3"/>
  <c r="A489" i="3"/>
  <c r="H488" i="3"/>
  <c r="G488" i="3"/>
  <c r="D488" i="3"/>
  <c r="F488" i="3" s="1"/>
  <c r="C488" i="3"/>
  <c r="E488" i="3" s="1"/>
  <c r="B488" i="3"/>
  <c r="A488" i="3"/>
  <c r="H487" i="3"/>
  <c r="G487" i="3"/>
  <c r="D487" i="3"/>
  <c r="C487" i="3"/>
  <c r="E487" i="3" s="1"/>
  <c r="F487" i="3" s="1"/>
  <c r="B487" i="3"/>
  <c r="A487" i="3"/>
  <c r="H486" i="3"/>
  <c r="G486" i="3"/>
  <c r="F486" i="3"/>
  <c r="E486" i="3"/>
  <c r="D486" i="3"/>
  <c r="C486" i="3"/>
  <c r="B486" i="3"/>
  <c r="A486" i="3"/>
  <c r="H485" i="3"/>
  <c r="G485" i="3"/>
  <c r="E485" i="3"/>
  <c r="D485" i="3"/>
  <c r="C485" i="3"/>
  <c r="B485" i="3"/>
  <c r="A485" i="3"/>
  <c r="H484" i="3"/>
  <c r="G484" i="3"/>
  <c r="D484" i="3"/>
  <c r="C484" i="3"/>
  <c r="E484" i="3" s="1"/>
  <c r="B484" i="3"/>
  <c r="A484" i="3"/>
  <c r="H483" i="3"/>
  <c r="G483" i="3"/>
  <c r="D483" i="3"/>
  <c r="C483" i="3"/>
  <c r="E483" i="3" s="1"/>
  <c r="F483" i="3" s="1"/>
  <c r="B483" i="3"/>
  <c r="A483" i="3"/>
  <c r="H482" i="3"/>
  <c r="G482" i="3"/>
  <c r="F482" i="3"/>
  <c r="E482" i="3"/>
  <c r="D482" i="3"/>
  <c r="C482" i="3"/>
  <c r="B482" i="3"/>
  <c r="A482" i="3"/>
  <c r="H481" i="3"/>
  <c r="G481" i="3"/>
  <c r="E481" i="3"/>
  <c r="D481" i="3"/>
  <c r="F481" i="3" s="1"/>
  <c r="C481" i="3"/>
  <c r="B481" i="3"/>
  <c r="A481" i="3"/>
  <c r="H480" i="3"/>
  <c r="G480" i="3"/>
  <c r="D480" i="3"/>
  <c r="C480" i="3"/>
  <c r="E480" i="3" s="1"/>
  <c r="F480" i="3" s="1"/>
  <c r="B480" i="3"/>
  <c r="A480" i="3"/>
  <c r="H479" i="3"/>
  <c r="G479" i="3"/>
  <c r="E479" i="3"/>
  <c r="F479" i="3" s="1"/>
  <c r="D479" i="3"/>
  <c r="C479" i="3"/>
  <c r="B479" i="3"/>
  <c r="A479" i="3"/>
  <c r="H478" i="3"/>
  <c r="G478" i="3"/>
  <c r="D478" i="3"/>
  <c r="C478" i="3"/>
  <c r="E478" i="3" s="1"/>
  <c r="B478" i="3"/>
  <c r="A478" i="3"/>
  <c r="H477" i="3"/>
  <c r="G477" i="3"/>
  <c r="D477" i="3"/>
  <c r="C477" i="3"/>
  <c r="E477" i="3" s="1"/>
  <c r="B477" i="3"/>
  <c r="A477" i="3"/>
  <c r="H476" i="3"/>
  <c r="G476" i="3"/>
  <c r="E476" i="3"/>
  <c r="F476" i="3" s="1"/>
  <c r="D476" i="3"/>
  <c r="C476" i="3"/>
  <c r="B476" i="3"/>
  <c r="A476" i="3"/>
  <c r="H475" i="3"/>
  <c r="G475" i="3"/>
  <c r="E475" i="3"/>
  <c r="D475" i="3"/>
  <c r="F475" i="3" s="1"/>
  <c r="C475" i="3"/>
  <c r="B475" i="3"/>
  <c r="A475" i="3"/>
  <c r="H474" i="3"/>
  <c r="G474" i="3"/>
  <c r="D474" i="3"/>
  <c r="F474" i="3" s="1"/>
  <c r="C474" i="3"/>
  <c r="E474" i="3" s="1"/>
  <c r="B474" i="3"/>
  <c r="A474" i="3"/>
  <c r="H473" i="3"/>
  <c r="G473" i="3"/>
  <c r="D473" i="3"/>
  <c r="C473" i="3"/>
  <c r="E473" i="3" s="1"/>
  <c r="F473" i="3" s="1"/>
  <c r="B473" i="3"/>
  <c r="A473" i="3"/>
  <c r="H472" i="3"/>
  <c r="G472" i="3"/>
  <c r="E472" i="3"/>
  <c r="F472" i="3" s="1"/>
  <c r="D472" i="3"/>
  <c r="C472" i="3"/>
  <c r="B472" i="3"/>
  <c r="A472" i="3"/>
  <c r="H471" i="3"/>
  <c r="G471" i="3"/>
  <c r="E471" i="3"/>
  <c r="D471" i="3"/>
  <c r="C471" i="3"/>
  <c r="B471" i="3"/>
  <c r="A471" i="3"/>
  <c r="H470" i="3"/>
  <c r="G470" i="3"/>
  <c r="D470" i="3"/>
  <c r="C470" i="3"/>
  <c r="E470" i="3" s="1"/>
  <c r="B470" i="3"/>
  <c r="A470" i="3"/>
  <c r="H469" i="3"/>
  <c r="G469" i="3"/>
  <c r="F469" i="3"/>
  <c r="D469" i="3"/>
  <c r="C469" i="3"/>
  <c r="E469" i="3" s="1"/>
  <c r="B469" i="3"/>
  <c r="A469" i="3"/>
  <c r="H468" i="3"/>
  <c r="G468" i="3"/>
  <c r="F468" i="3"/>
  <c r="E468" i="3"/>
  <c r="D468" i="3"/>
  <c r="C468" i="3"/>
  <c r="B468" i="3"/>
  <c r="A468" i="3"/>
  <c r="H467" i="3"/>
  <c r="G467" i="3"/>
  <c r="E467" i="3"/>
  <c r="D467" i="3"/>
  <c r="F467" i="3" s="1"/>
  <c r="C467" i="3"/>
  <c r="B467" i="3"/>
  <c r="A467" i="3"/>
  <c r="H466" i="3"/>
  <c r="G466" i="3"/>
  <c r="D466" i="3"/>
  <c r="F466" i="3" s="1"/>
  <c r="C466" i="3"/>
  <c r="E466" i="3" s="1"/>
  <c r="B466" i="3"/>
  <c r="A466" i="3"/>
  <c r="H465" i="3"/>
  <c r="G465" i="3"/>
  <c r="D465" i="3"/>
  <c r="C465" i="3"/>
  <c r="E465" i="3" s="1"/>
  <c r="F465" i="3" s="1"/>
  <c r="B465" i="3"/>
  <c r="A465" i="3"/>
  <c r="H464" i="3"/>
  <c r="G464" i="3"/>
  <c r="F464" i="3"/>
  <c r="E464" i="3"/>
  <c r="D464" i="3"/>
  <c r="C464" i="3"/>
  <c r="B464" i="3"/>
  <c r="A464" i="3"/>
  <c r="H463" i="3"/>
  <c r="G463" i="3"/>
  <c r="E463" i="3"/>
  <c r="D463" i="3"/>
  <c r="C463" i="3"/>
  <c r="B463" i="3"/>
  <c r="A463" i="3"/>
  <c r="H462" i="3"/>
  <c r="G462" i="3"/>
  <c r="D462" i="3"/>
  <c r="C462" i="3"/>
  <c r="E462" i="3" s="1"/>
  <c r="B462" i="3"/>
  <c r="A462" i="3"/>
  <c r="H461" i="3"/>
  <c r="G461" i="3"/>
  <c r="F461" i="3"/>
  <c r="D461" i="3"/>
  <c r="C461" i="3"/>
  <c r="E461" i="3" s="1"/>
  <c r="B461" i="3"/>
  <c r="A461" i="3"/>
  <c r="H460" i="3"/>
  <c r="G460" i="3"/>
  <c r="E460" i="3"/>
  <c r="F460" i="3" s="1"/>
  <c r="D460" i="3"/>
  <c r="C460" i="3"/>
  <c r="B460" i="3"/>
  <c r="A460" i="3"/>
  <c r="H459" i="3"/>
  <c r="G459" i="3"/>
  <c r="E459" i="3"/>
  <c r="D459" i="3"/>
  <c r="F459" i="3" s="1"/>
  <c r="C459" i="3"/>
  <c r="B459" i="3"/>
  <c r="A459" i="3"/>
  <c r="H458" i="3"/>
  <c r="G458" i="3"/>
  <c r="D458" i="3"/>
  <c r="C458" i="3"/>
  <c r="E458" i="3" s="1"/>
  <c r="F458" i="3" s="1"/>
  <c r="B458" i="3"/>
  <c r="A458" i="3"/>
  <c r="H457" i="3"/>
  <c r="G457" i="3"/>
  <c r="F457" i="3"/>
  <c r="E457" i="3"/>
  <c r="D457" i="3"/>
  <c r="C457" i="3"/>
  <c r="B457" i="3"/>
  <c r="A457" i="3"/>
  <c r="H456" i="3"/>
  <c r="G456" i="3"/>
  <c r="E456" i="3"/>
  <c r="D456" i="3"/>
  <c r="F456" i="3" s="1"/>
  <c r="C456" i="3"/>
  <c r="B456" i="3"/>
  <c r="A456" i="3"/>
  <c r="H455" i="3"/>
  <c r="G455" i="3"/>
  <c r="D455" i="3"/>
  <c r="C455" i="3"/>
  <c r="E455" i="3" s="1"/>
  <c r="B455" i="3"/>
  <c r="A455" i="3"/>
  <c r="H454" i="3"/>
  <c r="G454" i="3"/>
  <c r="F454" i="3"/>
  <c r="D454" i="3"/>
  <c r="C454" i="3"/>
  <c r="E454" i="3" s="1"/>
  <c r="B454" i="3"/>
  <c r="A454" i="3"/>
  <c r="H453" i="3"/>
  <c r="G453" i="3"/>
  <c r="E453" i="3"/>
  <c r="F453" i="3" s="1"/>
  <c r="D453" i="3"/>
  <c r="C453" i="3"/>
  <c r="B453" i="3"/>
  <c r="A453" i="3"/>
  <c r="H452" i="3"/>
  <c r="G452" i="3"/>
  <c r="E452" i="3"/>
  <c r="D452" i="3"/>
  <c r="C452" i="3"/>
  <c r="B452" i="3"/>
  <c r="A452" i="3"/>
  <c r="H451" i="3"/>
  <c r="G451" i="3"/>
  <c r="D451" i="3"/>
  <c r="F451" i="3" s="1"/>
  <c r="C451" i="3"/>
  <c r="E451" i="3" s="1"/>
  <c r="B451" i="3"/>
  <c r="A451" i="3"/>
  <c r="H450" i="3"/>
  <c r="G450" i="3"/>
  <c r="D450" i="3"/>
  <c r="C450" i="3"/>
  <c r="E450" i="3" s="1"/>
  <c r="F450" i="3" s="1"/>
  <c r="B450" i="3"/>
  <c r="A450" i="3"/>
  <c r="H449" i="3"/>
  <c r="G449" i="3"/>
  <c r="F449" i="3"/>
  <c r="E449" i="3"/>
  <c r="D449" i="3"/>
  <c r="C449" i="3"/>
  <c r="B449" i="3"/>
  <c r="A449" i="3"/>
  <c r="H448" i="3"/>
  <c r="G448" i="3"/>
  <c r="E448" i="3"/>
  <c r="D448" i="3"/>
  <c r="F448" i="3" s="1"/>
  <c r="C448" i="3"/>
  <c r="B448" i="3"/>
  <c r="A448" i="3"/>
  <c r="H447" i="3"/>
  <c r="G447" i="3"/>
  <c r="D447" i="3"/>
  <c r="F447" i="3" s="1"/>
  <c r="C447" i="3"/>
  <c r="E447" i="3" s="1"/>
  <c r="B447" i="3"/>
  <c r="A447" i="3"/>
  <c r="H446" i="3"/>
  <c r="G446" i="3"/>
  <c r="F446" i="3"/>
  <c r="D446" i="3"/>
  <c r="C446" i="3"/>
  <c r="E446" i="3" s="1"/>
  <c r="B446" i="3"/>
  <c r="A446" i="3"/>
  <c r="H445" i="3"/>
  <c r="G445" i="3"/>
  <c r="E445" i="3"/>
  <c r="F445" i="3" s="1"/>
  <c r="D445" i="3"/>
  <c r="C445" i="3"/>
  <c r="B445" i="3"/>
  <c r="A445" i="3"/>
  <c r="H444" i="3"/>
  <c r="G444" i="3"/>
  <c r="E444" i="3"/>
  <c r="D444" i="3"/>
  <c r="C444" i="3"/>
  <c r="B444" i="3"/>
  <c r="A444" i="3"/>
  <c r="H443" i="3"/>
  <c r="G443" i="3"/>
  <c r="D443" i="3"/>
  <c r="F443" i="3" s="1"/>
  <c r="C443" i="3"/>
  <c r="E443" i="3" s="1"/>
  <c r="B443" i="3"/>
  <c r="A443" i="3"/>
  <c r="H442" i="3"/>
  <c r="G442" i="3"/>
  <c r="D442" i="3"/>
  <c r="C442" i="3"/>
  <c r="E442" i="3" s="1"/>
  <c r="F442" i="3" s="1"/>
  <c r="B442" i="3"/>
  <c r="A442" i="3"/>
  <c r="H441" i="3"/>
  <c r="G441" i="3"/>
  <c r="F441" i="3"/>
  <c r="E441" i="3"/>
  <c r="D441" i="3"/>
  <c r="C441" i="3"/>
  <c r="B441" i="3"/>
  <c r="A441" i="3"/>
  <c r="H440" i="3"/>
  <c r="G440" i="3"/>
  <c r="E440" i="3"/>
  <c r="D440" i="3"/>
  <c r="F440" i="3" s="1"/>
  <c r="C440" i="3"/>
  <c r="B440" i="3"/>
  <c r="A440" i="3"/>
  <c r="H439" i="3"/>
  <c r="G439" i="3"/>
  <c r="D439" i="3"/>
  <c r="F439" i="3" s="1"/>
  <c r="C439" i="3"/>
  <c r="E439" i="3" s="1"/>
  <c r="B439" i="3"/>
  <c r="A439" i="3"/>
  <c r="H438" i="3"/>
  <c r="G438" i="3"/>
  <c r="F438" i="3"/>
  <c r="D438" i="3"/>
  <c r="C438" i="3"/>
  <c r="E438" i="3" s="1"/>
  <c r="B438" i="3"/>
  <c r="A438" i="3"/>
  <c r="H437" i="3"/>
  <c r="G437" i="3"/>
  <c r="E437" i="3"/>
  <c r="D437" i="3"/>
  <c r="F437" i="3" s="1"/>
  <c r="C437" i="3"/>
  <c r="B437" i="3"/>
  <c r="A437" i="3"/>
  <c r="H436" i="3"/>
  <c r="G436" i="3"/>
  <c r="E436" i="3"/>
  <c r="D436" i="3"/>
  <c r="C436" i="3"/>
  <c r="B436" i="3"/>
  <c r="A436" i="3"/>
  <c r="H435" i="3"/>
  <c r="G435" i="3"/>
  <c r="D435" i="3"/>
  <c r="F435" i="3" s="1"/>
  <c r="C435" i="3"/>
  <c r="E435" i="3" s="1"/>
  <c r="B435" i="3"/>
  <c r="A435" i="3"/>
  <c r="H434" i="3"/>
  <c r="G434" i="3"/>
  <c r="F434" i="3"/>
  <c r="D434" i="3"/>
  <c r="C434" i="3"/>
  <c r="E434" i="3" s="1"/>
  <c r="B434" i="3"/>
  <c r="A434" i="3"/>
  <c r="H433" i="3"/>
  <c r="G433" i="3"/>
  <c r="E433" i="3"/>
  <c r="D433" i="3"/>
  <c r="F433" i="3" s="1"/>
  <c r="C433" i="3"/>
  <c r="B433" i="3"/>
  <c r="A433" i="3"/>
  <c r="H432" i="3"/>
  <c r="G432" i="3"/>
  <c r="D432" i="3"/>
  <c r="C432" i="3"/>
  <c r="E432" i="3" s="1"/>
  <c r="B432" i="3"/>
  <c r="A432" i="3"/>
  <c r="H431" i="3"/>
  <c r="G431" i="3"/>
  <c r="D431" i="3"/>
  <c r="F431" i="3" s="1"/>
  <c r="C431" i="3"/>
  <c r="E431" i="3" s="1"/>
  <c r="B431" i="3"/>
  <c r="A431" i="3"/>
  <c r="H430" i="3"/>
  <c r="G430" i="3"/>
  <c r="E430" i="3"/>
  <c r="F430" i="3" s="1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D428" i="3"/>
  <c r="C428" i="3"/>
  <c r="E428" i="3" s="1"/>
  <c r="B428" i="3"/>
  <c r="A428" i="3"/>
  <c r="H427" i="3"/>
  <c r="G427" i="3"/>
  <c r="D427" i="3"/>
  <c r="C427" i="3"/>
  <c r="E427" i="3" s="1"/>
  <c r="F427" i="3" s="1"/>
  <c r="B427" i="3"/>
  <c r="A427" i="3"/>
  <c r="H426" i="3"/>
  <c r="G426" i="3"/>
  <c r="E426" i="3"/>
  <c r="F426" i="3" s="1"/>
  <c r="D426" i="3"/>
  <c r="C426" i="3"/>
  <c r="B426" i="3"/>
  <c r="A426" i="3"/>
  <c r="H425" i="3"/>
  <c r="G425" i="3"/>
  <c r="E425" i="3"/>
  <c r="F425" i="3" s="1"/>
  <c r="D425" i="3"/>
  <c r="C425" i="3"/>
  <c r="B425" i="3"/>
  <c r="A425" i="3"/>
  <c r="H424" i="3"/>
  <c r="G424" i="3"/>
  <c r="E424" i="3"/>
  <c r="D424" i="3"/>
  <c r="C424" i="3"/>
  <c r="B424" i="3"/>
  <c r="A424" i="3"/>
  <c r="H423" i="3"/>
  <c r="G423" i="3"/>
  <c r="F423" i="3"/>
  <c r="D423" i="3"/>
  <c r="C423" i="3"/>
  <c r="E423" i="3" s="1"/>
  <c r="B423" i="3"/>
  <c r="A423" i="3"/>
  <c r="H422" i="3"/>
  <c r="G422" i="3"/>
  <c r="D422" i="3"/>
  <c r="C422" i="3"/>
  <c r="E422" i="3" s="1"/>
  <c r="F422" i="3" s="1"/>
  <c r="B422" i="3"/>
  <c r="A422" i="3"/>
  <c r="H421" i="3"/>
  <c r="G421" i="3"/>
  <c r="E421" i="3"/>
  <c r="D421" i="3"/>
  <c r="F421" i="3" s="1"/>
  <c r="C421" i="3"/>
  <c r="B421" i="3"/>
  <c r="A421" i="3"/>
  <c r="H420" i="3"/>
  <c r="G420" i="3"/>
  <c r="E420" i="3"/>
  <c r="D420" i="3"/>
  <c r="C420" i="3"/>
  <c r="B420" i="3"/>
  <c r="A420" i="3"/>
  <c r="H419" i="3"/>
  <c r="G419" i="3"/>
  <c r="D419" i="3"/>
  <c r="F419" i="3" s="1"/>
  <c r="C419" i="3"/>
  <c r="E419" i="3" s="1"/>
  <c r="B419" i="3"/>
  <c r="A419" i="3"/>
  <c r="H418" i="3"/>
  <c r="G418" i="3"/>
  <c r="F418" i="3"/>
  <c r="D418" i="3"/>
  <c r="C418" i="3"/>
  <c r="E418" i="3" s="1"/>
  <c r="B418" i="3"/>
  <c r="A418" i="3"/>
  <c r="H417" i="3"/>
  <c r="G417" i="3"/>
  <c r="E417" i="3"/>
  <c r="D417" i="3"/>
  <c r="F417" i="3" s="1"/>
  <c r="C417" i="3"/>
  <c r="B417" i="3"/>
  <c r="A417" i="3"/>
  <c r="H416" i="3"/>
  <c r="G416" i="3"/>
  <c r="D416" i="3"/>
  <c r="F416" i="3" s="1"/>
  <c r="C416" i="3"/>
  <c r="E416" i="3" s="1"/>
  <c r="B416" i="3"/>
  <c r="A416" i="3"/>
  <c r="H415" i="3"/>
  <c r="G415" i="3"/>
  <c r="D415" i="3"/>
  <c r="C415" i="3"/>
  <c r="E415" i="3" s="1"/>
  <c r="F415" i="3" s="1"/>
  <c r="B415" i="3"/>
  <c r="A415" i="3"/>
  <c r="H414" i="3"/>
  <c r="G414" i="3"/>
  <c r="E414" i="3"/>
  <c r="F414" i="3" s="1"/>
  <c r="D414" i="3"/>
  <c r="C414" i="3"/>
  <c r="B414" i="3"/>
  <c r="A414" i="3"/>
  <c r="H413" i="3"/>
  <c r="G413" i="3"/>
  <c r="E413" i="3"/>
  <c r="D413" i="3"/>
  <c r="C413" i="3"/>
  <c r="B413" i="3"/>
  <c r="A413" i="3"/>
  <c r="H412" i="3"/>
  <c r="G412" i="3"/>
  <c r="D412" i="3"/>
  <c r="C412" i="3"/>
  <c r="E412" i="3" s="1"/>
  <c r="B412" i="3"/>
  <c r="A412" i="3"/>
  <c r="H411" i="3"/>
  <c r="G411" i="3"/>
  <c r="F411" i="3"/>
  <c r="D411" i="3"/>
  <c r="C411" i="3"/>
  <c r="E411" i="3" s="1"/>
  <c r="B411" i="3"/>
  <c r="A411" i="3"/>
  <c r="H410" i="3"/>
  <c r="G410" i="3"/>
  <c r="F410" i="3"/>
  <c r="E410" i="3"/>
  <c r="D410" i="3"/>
  <c r="C410" i="3"/>
  <c r="B410" i="3"/>
  <c r="A410" i="3"/>
  <c r="H409" i="3"/>
  <c r="G409" i="3"/>
  <c r="E409" i="3"/>
  <c r="D409" i="3"/>
  <c r="F409" i="3" s="1"/>
  <c r="C409" i="3"/>
  <c r="B409" i="3"/>
  <c r="A409" i="3"/>
  <c r="H408" i="3"/>
  <c r="G408" i="3"/>
  <c r="D408" i="3"/>
  <c r="F408" i="3" s="1"/>
  <c r="C408" i="3"/>
  <c r="E408" i="3" s="1"/>
  <c r="B408" i="3"/>
  <c r="A408" i="3"/>
  <c r="H407" i="3"/>
  <c r="G407" i="3"/>
  <c r="D407" i="3"/>
  <c r="C407" i="3"/>
  <c r="E407" i="3" s="1"/>
  <c r="F407" i="3" s="1"/>
  <c r="B407" i="3"/>
  <c r="A407" i="3"/>
  <c r="H406" i="3"/>
  <c r="G406" i="3"/>
  <c r="E406" i="3"/>
  <c r="F406" i="3" s="1"/>
  <c r="D406" i="3"/>
  <c r="C406" i="3"/>
  <c r="B406" i="3"/>
  <c r="A406" i="3"/>
  <c r="H405" i="3"/>
  <c r="G405" i="3"/>
  <c r="E405" i="3"/>
  <c r="D405" i="3"/>
  <c r="C405" i="3"/>
  <c r="B405" i="3"/>
  <c r="A405" i="3"/>
  <c r="H404" i="3"/>
  <c r="G404" i="3"/>
  <c r="D404" i="3"/>
  <c r="C404" i="3"/>
  <c r="E404" i="3" s="1"/>
  <c r="B404" i="3"/>
  <c r="A404" i="3"/>
  <c r="H403" i="3"/>
  <c r="G403" i="3"/>
  <c r="F403" i="3"/>
  <c r="D403" i="3"/>
  <c r="C403" i="3"/>
  <c r="E403" i="3" s="1"/>
  <c r="B403" i="3"/>
  <c r="A403" i="3"/>
  <c r="H402" i="3"/>
  <c r="G402" i="3"/>
  <c r="F402" i="3"/>
  <c r="E402" i="3"/>
  <c r="D402" i="3"/>
  <c r="C402" i="3"/>
  <c r="B402" i="3"/>
  <c r="A402" i="3"/>
  <c r="H401" i="3"/>
  <c r="G401" i="3"/>
  <c r="E401" i="3"/>
  <c r="D401" i="3"/>
  <c r="F401" i="3" s="1"/>
  <c r="C401" i="3"/>
  <c r="B401" i="3"/>
  <c r="A401" i="3"/>
  <c r="H400" i="3"/>
  <c r="G400" i="3"/>
  <c r="D400" i="3"/>
  <c r="F400" i="3" s="1"/>
  <c r="C400" i="3"/>
  <c r="E400" i="3" s="1"/>
  <c r="B400" i="3"/>
  <c r="A400" i="3"/>
  <c r="H399" i="3"/>
  <c r="G399" i="3"/>
  <c r="D399" i="3"/>
  <c r="C399" i="3"/>
  <c r="E399" i="3" s="1"/>
  <c r="F399" i="3" s="1"/>
  <c r="B399" i="3"/>
  <c r="A399" i="3"/>
  <c r="H398" i="3"/>
  <c r="G398" i="3"/>
  <c r="E398" i="3"/>
  <c r="F398" i="3" s="1"/>
  <c r="D398" i="3"/>
  <c r="C398" i="3"/>
  <c r="B398" i="3"/>
  <c r="A398" i="3"/>
  <c r="H397" i="3"/>
  <c r="G397" i="3"/>
  <c r="E397" i="3"/>
  <c r="D397" i="3"/>
  <c r="C397" i="3"/>
  <c r="B397" i="3"/>
  <c r="A397" i="3"/>
  <c r="H396" i="3"/>
  <c r="G396" i="3"/>
  <c r="D396" i="3"/>
  <c r="C396" i="3"/>
  <c r="E396" i="3" s="1"/>
  <c r="B396" i="3"/>
  <c r="A396" i="3"/>
  <c r="H395" i="3"/>
  <c r="G395" i="3"/>
  <c r="F395" i="3"/>
  <c r="D395" i="3"/>
  <c r="C395" i="3"/>
  <c r="E395" i="3" s="1"/>
  <c r="B395" i="3"/>
  <c r="A395" i="3"/>
  <c r="H394" i="3"/>
  <c r="G394" i="3"/>
  <c r="F394" i="3"/>
  <c r="E394" i="3"/>
  <c r="D394" i="3"/>
  <c r="C394" i="3"/>
  <c r="B394" i="3"/>
  <c r="A394" i="3"/>
  <c r="H393" i="3"/>
  <c r="G393" i="3"/>
  <c r="E393" i="3"/>
  <c r="D393" i="3"/>
  <c r="F393" i="3" s="1"/>
  <c r="C393" i="3"/>
  <c r="B393" i="3"/>
  <c r="A393" i="3"/>
  <c r="H392" i="3"/>
  <c r="G392" i="3"/>
  <c r="D392" i="3"/>
  <c r="F392" i="3" s="1"/>
  <c r="C392" i="3"/>
  <c r="E392" i="3" s="1"/>
  <c r="B392" i="3"/>
  <c r="A392" i="3"/>
  <c r="H391" i="3"/>
  <c r="G391" i="3"/>
  <c r="D391" i="3"/>
  <c r="C391" i="3"/>
  <c r="E391" i="3" s="1"/>
  <c r="F391" i="3" s="1"/>
  <c r="B391" i="3"/>
  <c r="A391" i="3"/>
  <c r="H390" i="3"/>
  <c r="G390" i="3"/>
  <c r="E390" i="3"/>
  <c r="F390" i="3" s="1"/>
  <c r="D390" i="3"/>
  <c r="C390" i="3"/>
  <c r="B390" i="3"/>
  <c r="A390" i="3"/>
  <c r="H389" i="3"/>
  <c r="G389" i="3"/>
  <c r="E389" i="3"/>
  <c r="D389" i="3"/>
  <c r="C389" i="3"/>
  <c r="B389" i="3"/>
  <c r="A389" i="3"/>
  <c r="H388" i="3"/>
  <c r="G388" i="3"/>
  <c r="D388" i="3"/>
  <c r="C388" i="3"/>
  <c r="E388" i="3" s="1"/>
  <c r="B388" i="3"/>
  <c r="A388" i="3"/>
  <c r="H387" i="3"/>
  <c r="G387" i="3"/>
  <c r="F387" i="3"/>
  <c r="D387" i="3"/>
  <c r="C387" i="3"/>
  <c r="E387" i="3" s="1"/>
  <c r="B387" i="3"/>
  <c r="A387" i="3"/>
  <c r="H386" i="3"/>
  <c r="G386" i="3"/>
  <c r="F386" i="3"/>
  <c r="E386" i="3"/>
  <c r="D386" i="3"/>
  <c r="C386" i="3"/>
  <c r="B386" i="3"/>
  <c r="A386" i="3"/>
  <c r="H385" i="3"/>
  <c r="G385" i="3"/>
  <c r="E385" i="3"/>
  <c r="D385" i="3"/>
  <c r="F385" i="3" s="1"/>
  <c r="C385" i="3"/>
  <c r="B385" i="3"/>
  <c r="A385" i="3"/>
  <c r="H384" i="3"/>
  <c r="G384" i="3"/>
  <c r="D384" i="3"/>
  <c r="F384" i="3" s="1"/>
  <c r="C384" i="3"/>
  <c r="E384" i="3" s="1"/>
  <c r="B384" i="3"/>
  <c r="A384" i="3"/>
  <c r="H383" i="3"/>
  <c r="G383" i="3"/>
  <c r="D383" i="3"/>
  <c r="C383" i="3"/>
  <c r="E383" i="3" s="1"/>
  <c r="F383" i="3" s="1"/>
  <c r="B383" i="3"/>
  <c r="A383" i="3"/>
  <c r="H382" i="3"/>
  <c r="G382" i="3"/>
  <c r="E382" i="3"/>
  <c r="F382" i="3" s="1"/>
  <c r="D382" i="3"/>
  <c r="C382" i="3"/>
  <c r="B382" i="3"/>
  <c r="A382" i="3"/>
  <c r="H381" i="3"/>
  <c r="G381" i="3"/>
  <c r="E381" i="3"/>
  <c r="D381" i="3"/>
  <c r="C381" i="3"/>
  <c r="B381" i="3"/>
  <c r="A381" i="3"/>
  <c r="H380" i="3"/>
  <c r="G380" i="3"/>
  <c r="D380" i="3"/>
  <c r="C380" i="3"/>
  <c r="E380" i="3" s="1"/>
  <c r="B380" i="3"/>
  <c r="A380" i="3"/>
  <c r="H379" i="3"/>
  <c r="G379" i="3"/>
  <c r="F379" i="3"/>
  <c r="D379" i="3"/>
  <c r="C379" i="3"/>
  <c r="E379" i="3" s="1"/>
  <c r="B379" i="3"/>
  <c r="A379" i="3"/>
  <c r="H378" i="3"/>
  <c r="G378" i="3"/>
  <c r="F378" i="3"/>
  <c r="E378" i="3"/>
  <c r="D378" i="3"/>
  <c r="C378" i="3"/>
  <c r="B378" i="3"/>
  <c r="A378" i="3"/>
  <c r="H377" i="3"/>
  <c r="G377" i="3"/>
  <c r="E377" i="3"/>
  <c r="D377" i="3"/>
  <c r="F377" i="3" s="1"/>
  <c r="C377" i="3"/>
  <c r="B377" i="3"/>
  <c r="A377" i="3"/>
  <c r="H376" i="3"/>
  <c r="G376" i="3"/>
  <c r="D376" i="3"/>
  <c r="F376" i="3" s="1"/>
  <c r="C376" i="3"/>
  <c r="E376" i="3" s="1"/>
  <c r="B376" i="3"/>
  <c r="A376" i="3"/>
  <c r="H375" i="3"/>
  <c r="G375" i="3"/>
  <c r="D375" i="3"/>
  <c r="C375" i="3"/>
  <c r="E375" i="3" s="1"/>
  <c r="F375" i="3" s="1"/>
  <c r="B375" i="3"/>
  <c r="A375" i="3"/>
  <c r="H374" i="3"/>
  <c r="G374" i="3"/>
  <c r="D374" i="3"/>
  <c r="C374" i="3"/>
  <c r="E374" i="3" s="1"/>
  <c r="B374" i="3"/>
  <c r="A374" i="3"/>
  <c r="H373" i="3"/>
  <c r="G373" i="3"/>
  <c r="F373" i="3"/>
  <c r="D373" i="3"/>
  <c r="C373" i="3"/>
  <c r="E373" i="3" s="1"/>
  <c r="B373" i="3"/>
  <c r="A373" i="3"/>
  <c r="H372" i="3"/>
  <c r="G372" i="3"/>
  <c r="D372" i="3"/>
  <c r="C372" i="3"/>
  <c r="E372" i="3" s="1"/>
  <c r="F372" i="3" s="1"/>
  <c r="B372" i="3"/>
  <c r="A372" i="3"/>
  <c r="H371" i="3"/>
  <c r="G371" i="3"/>
  <c r="E371" i="3"/>
  <c r="D371" i="3"/>
  <c r="F371" i="3" s="1"/>
  <c r="C371" i="3"/>
  <c r="B371" i="3"/>
  <c r="A371" i="3"/>
  <c r="H370" i="3"/>
  <c r="G370" i="3"/>
  <c r="E370" i="3"/>
  <c r="D370" i="3"/>
  <c r="F370" i="3" s="1"/>
  <c r="C370" i="3"/>
  <c r="B370" i="3"/>
  <c r="A370" i="3"/>
  <c r="H369" i="3"/>
  <c r="G369" i="3"/>
  <c r="D369" i="3"/>
  <c r="F369" i="3" s="1"/>
  <c r="C369" i="3"/>
  <c r="E369" i="3" s="1"/>
  <c r="B369" i="3"/>
  <c r="A369" i="3"/>
  <c r="H368" i="3"/>
  <c r="G368" i="3"/>
  <c r="D368" i="3"/>
  <c r="C368" i="3"/>
  <c r="E368" i="3" s="1"/>
  <c r="F368" i="3" s="1"/>
  <c r="B368" i="3"/>
  <c r="A368" i="3"/>
  <c r="H367" i="3"/>
  <c r="G367" i="3"/>
  <c r="E367" i="3"/>
  <c r="D367" i="3"/>
  <c r="F367" i="3" s="1"/>
  <c r="C367" i="3"/>
  <c r="B367" i="3"/>
  <c r="A367" i="3"/>
  <c r="H366" i="3"/>
  <c r="G366" i="3"/>
  <c r="D366" i="3"/>
  <c r="C366" i="3"/>
  <c r="E366" i="3" s="1"/>
  <c r="B366" i="3"/>
  <c r="A366" i="3"/>
  <c r="H365" i="3"/>
  <c r="G365" i="3"/>
  <c r="D365" i="3"/>
  <c r="C365" i="3"/>
  <c r="E365" i="3" s="1"/>
  <c r="B365" i="3"/>
  <c r="A365" i="3"/>
  <c r="H364" i="3"/>
  <c r="G364" i="3"/>
  <c r="E364" i="3"/>
  <c r="F364" i="3" s="1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D362" i="3"/>
  <c r="C362" i="3"/>
  <c r="E362" i="3" s="1"/>
  <c r="B362" i="3"/>
  <c r="A362" i="3"/>
  <c r="H361" i="3"/>
  <c r="G361" i="3"/>
  <c r="D361" i="3"/>
  <c r="C361" i="3"/>
  <c r="E361" i="3" s="1"/>
  <c r="F361" i="3" s="1"/>
  <c r="B361" i="3"/>
  <c r="A361" i="3"/>
  <c r="H360" i="3"/>
  <c r="G360" i="3"/>
  <c r="E360" i="3"/>
  <c r="F360" i="3" s="1"/>
  <c r="D360" i="3"/>
  <c r="C360" i="3"/>
  <c r="B360" i="3"/>
  <c r="A360" i="3"/>
  <c r="H359" i="3"/>
  <c r="G359" i="3"/>
  <c r="E359" i="3"/>
  <c r="F359" i="3" s="1"/>
  <c r="D359" i="3"/>
  <c r="C359" i="3"/>
  <c r="B359" i="3"/>
  <c r="A359" i="3"/>
  <c r="H358" i="3"/>
  <c r="G358" i="3"/>
  <c r="E358" i="3"/>
  <c r="D358" i="3"/>
  <c r="C358" i="3"/>
  <c r="B358" i="3"/>
  <c r="A358" i="3"/>
  <c r="H357" i="3"/>
  <c r="G357" i="3"/>
  <c r="F357" i="3"/>
  <c r="D357" i="3"/>
  <c r="C357" i="3"/>
  <c r="E357" i="3" s="1"/>
  <c r="B357" i="3"/>
  <c r="A357" i="3"/>
  <c r="H356" i="3"/>
  <c r="G356" i="3"/>
  <c r="D356" i="3"/>
  <c r="C356" i="3"/>
  <c r="E356" i="3" s="1"/>
  <c r="F356" i="3" s="1"/>
  <c r="B356" i="3"/>
  <c r="A356" i="3"/>
  <c r="H355" i="3"/>
  <c r="G355" i="3"/>
  <c r="E355" i="3"/>
  <c r="D355" i="3"/>
  <c r="F355" i="3" s="1"/>
  <c r="C355" i="3"/>
  <c r="B355" i="3"/>
  <c r="A355" i="3"/>
  <c r="H354" i="3"/>
  <c r="G354" i="3"/>
  <c r="E354" i="3"/>
  <c r="D354" i="3"/>
  <c r="F354" i="3" s="1"/>
  <c r="C354" i="3"/>
  <c r="B354" i="3"/>
  <c r="A354" i="3"/>
  <c r="J353" i="3"/>
  <c r="H353" i="3"/>
  <c r="G353" i="3"/>
  <c r="D353" i="3"/>
  <c r="F353" i="3" s="1"/>
  <c r="C353" i="3"/>
  <c r="E353" i="3" s="1"/>
  <c r="B353" i="3"/>
  <c r="A353" i="3"/>
  <c r="H352" i="3"/>
  <c r="G352" i="3"/>
  <c r="D352" i="3"/>
  <c r="C352" i="3"/>
  <c r="E352" i="3" s="1"/>
  <c r="F352" i="3" s="1"/>
  <c r="B352" i="3"/>
  <c r="A352" i="3"/>
  <c r="H351" i="3"/>
  <c r="G351" i="3"/>
  <c r="E351" i="3"/>
  <c r="D351" i="3"/>
  <c r="F351" i="3" s="1"/>
  <c r="C351" i="3"/>
  <c r="B351" i="3"/>
  <c r="A351" i="3"/>
  <c r="H350" i="3"/>
  <c r="G350" i="3"/>
  <c r="D350" i="3"/>
  <c r="F350" i="3" s="1"/>
  <c r="C350" i="3"/>
  <c r="E350" i="3" s="1"/>
  <c r="B350" i="3"/>
  <c r="A350" i="3"/>
  <c r="H349" i="3"/>
  <c r="G349" i="3"/>
  <c r="F349" i="3"/>
  <c r="D349" i="3"/>
  <c r="C349" i="3"/>
  <c r="E349" i="3" s="1"/>
  <c r="B349" i="3"/>
  <c r="A349" i="3"/>
  <c r="H348" i="3"/>
  <c r="G348" i="3"/>
  <c r="E348" i="3"/>
  <c r="F348" i="3" s="1"/>
  <c r="D348" i="3"/>
  <c r="C348" i="3"/>
  <c r="B348" i="3"/>
  <c r="A348" i="3"/>
  <c r="H347" i="3"/>
  <c r="G347" i="3"/>
  <c r="E347" i="3"/>
  <c r="D347" i="3"/>
  <c r="F347" i="3" s="1"/>
  <c r="C347" i="3"/>
  <c r="B347" i="3"/>
  <c r="A347" i="3"/>
  <c r="H346" i="3"/>
  <c r="G346" i="3"/>
  <c r="D346" i="3"/>
  <c r="C346" i="3"/>
  <c r="E346" i="3" s="1"/>
  <c r="B346" i="3"/>
  <c r="A346" i="3"/>
  <c r="H345" i="3"/>
  <c r="G345" i="3"/>
  <c r="D345" i="3"/>
  <c r="C345" i="3"/>
  <c r="E345" i="3" s="1"/>
  <c r="F345" i="3" s="1"/>
  <c r="B345" i="3"/>
  <c r="A345" i="3"/>
  <c r="H344" i="3"/>
  <c r="G344" i="3"/>
  <c r="E344" i="3"/>
  <c r="F344" i="3" s="1"/>
  <c r="D344" i="3"/>
  <c r="C344" i="3"/>
  <c r="B344" i="3"/>
  <c r="A344" i="3"/>
  <c r="H343" i="3"/>
  <c r="G343" i="3"/>
  <c r="E343" i="3"/>
  <c r="D343" i="3"/>
  <c r="F343" i="3" s="1"/>
  <c r="C343" i="3"/>
  <c r="B343" i="3"/>
  <c r="A343" i="3"/>
  <c r="H342" i="3"/>
  <c r="G342" i="3"/>
  <c r="D342" i="3"/>
  <c r="F342" i="3" s="1"/>
  <c r="C342" i="3"/>
  <c r="E342" i="3" s="1"/>
  <c r="B342" i="3"/>
  <c r="A342" i="3"/>
  <c r="H341" i="3"/>
  <c r="G341" i="3"/>
  <c r="F341" i="3"/>
  <c r="D341" i="3"/>
  <c r="C341" i="3"/>
  <c r="E341" i="3" s="1"/>
  <c r="B341" i="3"/>
  <c r="A341" i="3"/>
  <c r="H340" i="3"/>
  <c r="G340" i="3"/>
  <c r="E340" i="3"/>
  <c r="F340" i="3" s="1"/>
  <c r="D340" i="3"/>
  <c r="C340" i="3"/>
  <c r="B340" i="3"/>
  <c r="A340" i="3"/>
  <c r="H339" i="3"/>
  <c r="G339" i="3"/>
  <c r="E339" i="3"/>
  <c r="D339" i="3"/>
  <c r="F339" i="3" s="1"/>
  <c r="C339" i="3"/>
  <c r="B339" i="3"/>
  <c r="A339" i="3"/>
  <c r="H338" i="3"/>
  <c r="G338" i="3"/>
  <c r="D338" i="3"/>
  <c r="C338" i="3"/>
  <c r="E338" i="3" s="1"/>
  <c r="B338" i="3"/>
  <c r="A338" i="3"/>
  <c r="H337" i="3"/>
  <c r="G337" i="3"/>
  <c r="D337" i="3"/>
  <c r="C337" i="3"/>
  <c r="E337" i="3" s="1"/>
  <c r="F337" i="3" s="1"/>
  <c r="B337" i="3"/>
  <c r="A337" i="3"/>
  <c r="I336" i="3"/>
  <c r="H336" i="3"/>
  <c r="G336" i="3"/>
  <c r="E336" i="3"/>
  <c r="F336" i="3" s="1"/>
  <c r="D336" i="3"/>
  <c r="C336" i="3"/>
  <c r="B336" i="3"/>
  <c r="A336" i="3"/>
  <c r="H335" i="3"/>
  <c r="G335" i="3"/>
  <c r="E335" i="3"/>
  <c r="D335" i="3"/>
  <c r="F335" i="3" s="1"/>
  <c r="C335" i="3"/>
  <c r="B335" i="3"/>
  <c r="A335" i="3"/>
  <c r="H334" i="3"/>
  <c r="G334" i="3"/>
  <c r="D334" i="3"/>
  <c r="F334" i="3" s="1"/>
  <c r="C334" i="3"/>
  <c r="E334" i="3" s="1"/>
  <c r="B334" i="3"/>
  <c r="A334" i="3"/>
  <c r="H333" i="3"/>
  <c r="G333" i="3"/>
  <c r="F333" i="3"/>
  <c r="D333" i="3"/>
  <c r="C333" i="3"/>
  <c r="E333" i="3" s="1"/>
  <c r="B333" i="3"/>
  <c r="A333" i="3"/>
  <c r="H332" i="3"/>
  <c r="G332" i="3"/>
  <c r="E332" i="3"/>
  <c r="F332" i="3" s="1"/>
  <c r="D332" i="3"/>
  <c r="C332" i="3"/>
  <c r="B332" i="3"/>
  <c r="A332" i="3"/>
  <c r="H331" i="3"/>
  <c r="G331" i="3"/>
  <c r="E331" i="3"/>
  <c r="D331" i="3"/>
  <c r="F331" i="3" s="1"/>
  <c r="C331" i="3"/>
  <c r="B331" i="3"/>
  <c r="A331" i="3"/>
  <c r="H330" i="3"/>
  <c r="G330" i="3"/>
  <c r="D330" i="3"/>
  <c r="C330" i="3"/>
  <c r="E330" i="3" s="1"/>
  <c r="B330" i="3"/>
  <c r="A330" i="3"/>
  <c r="H329" i="3"/>
  <c r="G329" i="3"/>
  <c r="D329" i="3"/>
  <c r="C329" i="3"/>
  <c r="E329" i="3" s="1"/>
  <c r="F329" i="3" s="1"/>
  <c r="B329" i="3"/>
  <c r="A329" i="3"/>
  <c r="H328" i="3"/>
  <c r="G328" i="3"/>
  <c r="E328" i="3"/>
  <c r="F328" i="3" s="1"/>
  <c r="D328" i="3"/>
  <c r="C328" i="3"/>
  <c r="B328" i="3"/>
  <c r="A328" i="3"/>
  <c r="H327" i="3"/>
  <c r="G327" i="3"/>
  <c r="E327" i="3"/>
  <c r="D327" i="3"/>
  <c r="F327" i="3" s="1"/>
  <c r="C327" i="3"/>
  <c r="B327" i="3"/>
  <c r="A327" i="3"/>
  <c r="H326" i="3"/>
  <c r="G326" i="3"/>
  <c r="D326" i="3"/>
  <c r="F326" i="3" s="1"/>
  <c r="C326" i="3"/>
  <c r="E326" i="3" s="1"/>
  <c r="B326" i="3"/>
  <c r="A326" i="3"/>
  <c r="H325" i="3"/>
  <c r="G325" i="3"/>
  <c r="F325" i="3"/>
  <c r="D325" i="3"/>
  <c r="C325" i="3"/>
  <c r="E325" i="3" s="1"/>
  <c r="B325" i="3"/>
  <c r="A325" i="3"/>
  <c r="H324" i="3"/>
  <c r="G324" i="3"/>
  <c r="E324" i="3"/>
  <c r="F324" i="3" s="1"/>
  <c r="D324" i="3"/>
  <c r="C324" i="3"/>
  <c r="B324" i="3"/>
  <c r="A324" i="3"/>
  <c r="H323" i="3"/>
  <c r="G323" i="3"/>
  <c r="E323" i="3"/>
  <c r="D323" i="3"/>
  <c r="C323" i="3"/>
  <c r="B323" i="3"/>
  <c r="A323" i="3"/>
  <c r="H322" i="3"/>
  <c r="G322" i="3"/>
  <c r="D322" i="3"/>
  <c r="C322" i="3"/>
  <c r="E322" i="3" s="1"/>
  <c r="B322" i="3"/>
  <c r="A322" i="3"/>
  <c r="H321" i="3"/>
  <c r="G321" i="3"/>
  <c r="F321" i="3"/>
  <c r="D321" i="3"/>
  <c r="C321" i="3"/>
  <c r="E321" i="3" s="1"/>
  <c r="B321" i="3"/>
  <c r="A321" i="3"/>
  <c r="H320" i="3"/>
  <c r="G320" i="3"/>
  <c r="F320" i="3"/>
  <c r="E320" i="3"/>
  <c r="D320" i="3"/>
  <c r="C320" i="3"/>
  <c r="B320" i="3"/>
  <c r="A320" i="3"/>
  <c r="H319" i="3"/>
  <c r="G319" i="3"/>
  <c r="E319" i="3"/>
  <c r="D319" i="3"/>
  <c r="F319" i="3" s="1"/>
  <c r="C319" i="3"/>
  <c r="B319" i="3"/>
  <c r="A319" i="3"/>
  <c r="H318" i="3"/>
  <c r="G318" i="3"/>
  <c r="D318" i="3"/>
  <c r="F318" i="3" s="1"/>
  <c r="C318" i="3"/>
  <c r="E318" i="3" s="1"/>
  <c r="B318" i="3"/>
  <c r="A318" i="3"/>
  <c r="H317" i="3"/>
  <c r="G317" i="3"/>
  <c r="D317" i="3"/>
  <c r="C317" i="3"/>
  <c r="E317" i="3" s="1"/>
  <c r="F317" i="3" s="1"/>
  <c r="B317" i="3"/>
  <c r="A317" i="3"/>
  <c r="H316" i="3"/>
  <c r="G316" i="3"/>
  <c r="E316" i="3"/>
  <c r="F316" i="3" s="1"/>
  <c r="D316" i="3"/>
  <c r="C316" i="3"/>
  <c r="B316" i="3"/>
  <c r="A316" i="3"/>
  <c r="H315" i="3"/>
  <c r="G315" i="3"/>
  <c r="E315" i="3"/>
  <c r="D315" i="3"/>
  <c r="C315" i="3"/>
  <c r="B315" i="3"/>
  <c r="A315" i="3"/>
  <c r="H314" i="3"/>
  <c r="G314" i="3"/>
  <c r="D314" i="3"/>
  <c r="C314" i="3"/>
  <c r="E314" i="3" s="1"/>
  <c r="B314" i="3"/>
  <c r="A314" i="3"/>
  <c r="H313" i="3"/>
  <c r="G313" i="3"/>
  <c r="F313" i="3"/>
  <c r="D313" i="3"/>
  <c r="C313" i="3"/>
  <c r="E313" i="3" s="1"/>
  <c r="B313" i="3"/>
  <c r="A313" i="3"/>
  <c r="H312" i="3"/>
  <c r="G312" i="3"/>
  <c r="F312" i="3"/>
  <c r="E312" i="3"/>
  <c r="D312" i="3"/>
  <c r="C312" i="3"/>
  <c r="B312" i="3"/>
  <c r="A312" i="3"/>
  <c r="H311" i="3"/>
  <c r="G311" i="3"/>
  <c r="E311" i="3"/>
  <c r="D311" i="3"/>
  <c r="F311" i="3" s="1"/>
  <c r="C311" i="3"/>
  <c r="B311" i="3"/>
  <c r="A311" i="3"/>
  <c r="H310" i="3"/>
  <c r="G310" i="3"/>
  <c r="D310" i="3"/>
  <c r="F310" i="3" s="1"/>
  <c r="C310" i="3"/>
  <c r="E310" i="3" s="1"/>
  <c r="B310" i="3"/>
  <c r="A310" i="3"/>
  <c r="H309" i="3"/>
  <c r="G309" i="3"/>
  <c r="D309" i="3"/>
  <c r="C309" i="3"/>
  <c r="E309" i="3" s="1"/>
  <c r="F309" i="3" s="1"/>
  <c r="B309" i="3"/>
  <c r="A309" i="3"/>
  <c r="H308" i="3"/>
  <c r="G308" i="3"/>
  <c r="F308" i="3"/>
  <c r="E308" i="3"/>
  <c r="D308" i="3"/>
  <c r="C308" i="3"/>
  <c r="B308" i="3"/>
  <c r="A308" i="3"/>
  <c r="H307" i="3"/>
  <c r="G307" i="3"/>
  <c r="E307" i="3"/>
  <c r="D307" i="3"/>
  <c r="C307" i="3"/>
  <c r="B307" i="3"/>
  <c r="A307" i="3"/>
  <c r="H306" i="3"/>
  <c r="G306" i="3"/>
  <c r="D306" i="3"/>
  <c r="C306" i="3"/>
  <c r="E306" i="3" s="1"/>
  <c r="B306" i="3"/>
  <c r="A306" i="3"/>
  <c r="H305" i="3"/>
  <c r="G305" i="3"/>
  <c r="F305" i="3"/>
  <c r="D305" i="3"/>
  <c r="C305" i="3"/>
  <c r="E305" i="3" s="1"/>
  <c r="B305" i="3"/>
  <c r="A305" i="3"/>
  <c r="H304" i="3"/>
  <c r="G304" i="3"/>
  <c r="F304" i="3"/>
  <c r="E304" i="3"/>
  <c r="D304" i="3"/>
  <c r="C304" i="3"/>
  <c r="B304" i="3"/>
  <c r="A304" i="3"/>
  <c r="H303" i="3"/>
  <c r="G303" i="3"/>
  <c r="E303" i="3"/>
  <c r="D303" i="3"/>
  <c r="C303" i="3"/>
  <c r="B303" i="3"/>
  <c r="A303" i="3"/>
  <c r="H302" i="3"/>
  <c r="G302" i="3"/>
  <c r="D302" i="3"/>
  <c r="C302" i="3"/>
  <c r="E302" i="3" s="1"/>
  <c r="B302" i="3"/>
  <c r="A302" i="3"/>
  <c r="H301" i="3"/>
  <c r="G301" i="3"/>
  <c r="F301" i="3"/>
  <c r="D301" i="3"/>
  <c r="C301" i="3"/>
  <c r="E301" i="3" s="1"/>
  <c r="B301" i="3"/>
  <c r="A301" i="3"/>
  <c r="H300" i="3"/>
  <c r="G300" i="3"/>
  <c r="E300" i="3"/>
  <c r="F300" i="3" s="1"/>
  <c r="D300" i="3"/>
  <c r="C300" i="3"/>
  <c r="B300" i="3"/>
  <c r="A300" i="3"/>
  <c r="H299" i="3"/>
  <c r="G299" i="3"/>
  <c r="E299" i="3"/>
  <c r="D299" i="3"/>
  <c r="F299" i="3" s="1"/>
  <c r="C299" i="3"/>
  <c r="B299" i="3"/>
  <c r="A299" i="3"/>
  <c r="H298" i="3"/>
  <c r="G298" i="3"/>
  <c r="D298" i="3"/>
  <c r="F298" i="3" s="1"/>
  <c r="C298" i="3"/>
  <c r="E298" i="3" s="1"/>
  <c r="B298" i="3"/>
  <c r="A298" i="3"/>
  <c r="H297" i="3"/>
  <c r="G297" i="3"/>
  <c r="D297" i="3"/>
  <c r="C297" i="3"/>
  <c r="E297" i="3" s="1"/>
  <c r="F297" i="3" s="1"/>
  <c r="B297" i="3"/>
  <c r="A297" i="3"/>
  <c r="H296" i="3"/>
  <c r="G296" i="3"/>
  <c r="E296" i="3"/>
  <c r="F296" i="3" s="1"/>
  <c r="D296" i="3"/>
  <c r="C296" i="3"/>
  <c r="B296" i="3"/>
  <c r="A296" i="3"/>
  <c r="H295" i="3"/>
  <c r="G295" i="3"/>
  <c r="E295" i="3"/>
  <c r="D295" i="3"/>
  <c r="C295" i="3"/>
  <c r="B295" i="3"/>
  <c r="A295" i="3"/>
  <c r="H294" i="3"/>
  <c r="G294" i="3"/>
  <c r="D294" i="3"/>
  <c r="C294" i="3"/>
  <c r="E294" i="3" s="1"/>
  <c r="B294" i="3"/>
  <c r="A294" i="3"/>
  <c r="H293" i="3"/>
  <c r="G293" i="3"/>
  <c r="F293" i="3"/>
  <c r="D293" i="3"/>
  <c r="C293" i="3"/>
  <c r="E293" i="3" s="1"/>
  <c r="B293" i="3"/>
  <c r="A293" i="3"/>
  <c r="H292" i="3"/>
  <c r="G292" i="3"/>
  <c r="E292" i="3"/>
  <c r="F292" i="3" s="1"/>
  <c r="D292" i="3"/>
  <c r="C292" i="3"/>
  <c r="B292" i="3"/>
  <c r="A292" i="3"/>
  <c r="H291" i="3"/>
  <c r="G291" i="3"/>
  <c r="E291" i="3"/>
  <c r="D291" i="3"/>
  <c r="F291" i="3" s="1"/>
  <c r="C291" i="3"/>
  <c r="B291" i="3"/>
  <c r="A291" i="3"/>
  <c r="H290" i="3"/>
  <c r="G290" i="3"/>
  <c r="D290" i="3"/>
  <c r="F290" i="3" s="1"/>
  <c r="C290" i="3"/>
  <c r="E290" i="3" s="1"/>
  <c r="B290" i="3"/>
  <c r="A290" i="3"/>
  <c r="H289" i="3"/>
  <c r="G289" i="3"/>
  <c r="D289" i="3"/>
  <c r="C289" i="3"/>
  <c r="E289" i="3" s="1"/>
  <c r="F289" i="3" s="1"/>
  <c r="B289" i="3"/>
  <c r="A289" i="3"/>
  <c r="H288" i="3"/>
  <c r="G288" i="3"/>
  <c r="F288" i="3"/>
  <c r="E288" i="3"/>
  <c r="D288" i="3"/>
  <c r="C288" i="3"/>
  <c r="B288" i="3"/>
  <c r="A288" i="3"/>
  <c r="H287" i="3"/>
  <c r="G287" i="3"/>
  <c r="E287" i="3"/>
  <c r="D287" i="3"/>
  <c r="C287" i="3"/>
  <c r="B287" i="3"/>
  <c r="A287" i="3"/>
  <c r="H286" i="3"/>
  <c r="G286" i="3"/>
  <c r="D286" i="3"/>
  <c r="C286" i="3"/>
  <c r="E286" i="3" s="1"/>
  <c r="B286" i="3"/>
  <c r="A286" i="3"/>
  <c r="H285" i="3"/>
  <c r="G285" i="3"/>
  <c r="F285" i="3"/>
  <c r="D285" i="3"/>
  <c r="C285" i="3"/>
  <c r="E285" i="3" s="1"/>
  <c r="B285" i="3"/>
  <c r="A285" i="3"/>
  <c r="H284" i="3"/>
  <c r="G284" i="3"/>
  <c r="E284" i="3"/>
  <c r="F284" i="3" s="1"/>
  <c r="D284" i="3"/>
  <c r="C284" i="3"/>
  <c r="B284" i="3"/>
  <c r="A284" i="3"/>
  <c r="H283" i="3"/>
  <c r="G283" i="3"/>
  <c r="E283" i="3"/>
  <c r="D283" i="3"/>
  <c r="F283" i="3" s="1"/>
  <c r="C283" i="3"/>
  <c r="B283" i="3"/>
  <c r="A283" i="3"/>
  <c r="H282" i="3"/>
  <c r="G282" i="3"/>
  <c r="D282" i="3"/>
  <c r="F282" i="3" s="1"/>
  <c r="C282" i="3"/>
  <c r="E282" i="3" s="1"/>
  <c r="B282" i="3"/>
  <c r="A282" i="3"/>
  <c r="H281" i="3"/>
  <c r="G281" i="3"/>
  <c r="D281" i="3"/>
  <c r="C281" i="3"/>
  <c r="E281" i="3" s="1"/>
  <c r="F281" i="3" s="1"/>
  <c r="B281" i="3"/>
  <c r="A281" i="3"/>
  <c r="H280" i="3"/>
  <c r="G280" i="3"/>
  <c r="F280" i="3"/>
  <c r="E280" i="3"/>
  <c r="D280" i="3"/>
  <c r="C280" i="3"/>
  <c r="B280" i="3"/>
  <c r="A280" i="3"/>
  <c r="H279" i="3"/>
  <c r="G279" i="3"/>
  <c r="E279" i="3"/>
  <c r="D279" i="3"/>
  <c r="C279" i="3"/>
  <c r="B279" i="3"/>
  <c r="A279" i="3"/>
  <c r="H278" i="3"/>
  <c r="G278" i="3"/>
  <c r="D278" i="3"/>
  <c r="C278" i="3"/>
  <c r="E278" i="3" s="1"/>
  <c r="B278" i="3"/>
  <c r="A278" i="3"/>
  <c r="H277" i="3"/>
  <c r="G277" i="3"/>
  <c r="F277" i="3"/>
  <c r="D277" i="3"/>
  <c r="C277" i="3"/>
  <c r="E277" i="3" s="1"/>
  <c r="B277" i="3"/>
  <c r="A277" i="3"/>
  <c r="H276" i="3"/>
  <c r="G276" i="3"/>
  <c r="E276" i="3"/>
  <c r="F276" i="3" s="1"/>
  <c r="D276" i="3"/>
  <c r="C276" i="3"/>
  <c r="B276" i="3"/>
  <c r="A276" i="3"/>
  <c r="H275" i="3"/>
  <c r="G275" i="3"/>
  <c r="E275" i="3"/>
  <c r="D275" i="3"/>
  <c r="F275" i="3" s="1"/>
  <c r="C275" i="3"/>
  <c r="B275" i="3"/>
  <c r="A275" i="3"/>
  <c r="H274" i="3"/>
  <c r="G274" i="3"/>
  <c r="D274" i="3"/>
  <c r="F274" i="3" s="1"/>
  <c r="C274" i="3"/>
  <c r="E274" i="3" s="1"/>
  <c r="B274" i="3"/>
  <c r="A274" i="3"/>
  <c r="H273" i="3"/>
  <c r="G273" i="3"/>
  <c r="D273" i="3"/>
  <c r="C273" i="3"/>
  <c r="E273" i="3" s="1"/>
  <c r="F273" i="3" s="1"/>
  <c r="B273" i="3"/>
  <c r="A273" i="3"/>
  <c r="H272" i="3"/>
  <c r="G272" i="3"/>
  <c r="F272" i="3"/>
  <c r="E272" i="3"/>
  <c r="D272" i="3"/>
  <c r="C272" i="3"/>
  <c r="B272" i="3"/>
  <c r="A272" i="3"/>
  <c r="H271" i="3"/>
  <c r="G271" i="3"/>
  <c r="E271" i="3"/>
  <c r="D271" i="3"/>
  <c r="C271" i="3"/>
  <c r="B271" i="3"/>
  <c r="A271" i="3"/>
  <c r="H270" i="3"/>
  <c r="G270" i="3"/>
  <c r="D270" i="3"/>
  <c r="C270" i="3"/>
  <c r="E270" i="3" s="1"/>
  <c r="B270" i="3"/>
  <c r="A270" i="3"/>
  <c r="H269" i="3"/>
  <c r="G269" i="3"/>
  <c r="F269" i="3"/>
  <c r="D269" i="3"/>
  <c r="C269" i="3"/>
  <c r="E269" i="3" s="1"/>
  <c r="B269" i="3"/>
  <c r="A269" i="3"/>
  <c r="H268" i="3"/>
  <c r="G268" i="3"/>
  <c r="E268" i="3"/>
  <c r="F268" i="3" s="1"/>
  <c r="D268" i="3"/>
  <c r="C268" i="3"/>
  <c r="B268" i="3"/>
  <c r="A268" i="3"/>
  <c r="H267" i="3"/>
  <c r="G267" i="3"/>
  <c r="E267" i="3"/>
  <c r="D267" i="3"/>
  <c r="F267" i="3" s="1"/>
  <c r="C267" i="3"/>
  <c r="B267" i="3"/>
  <c r="A267" i="3"/>
  <c r="H266" i="3"/>
  <c r="G266" i="3"/>
  <c r="D266" i="3"/>
  <c r="F266" i="3" s="1"/>
  <c r="C266" i="3"/>
  <c r="E266" i="3" s="1"/>
  <c r="B266" i="3"/>
  <c r="A266" i="3"/>
  <c r="H265" i="3"/>
  <c r="G265" i="3"/>
  <c r="D265" i="3"/>
  <c r="C265" i="3"/>
  <c r="E265" i="3" s="1"/>
  <c r="F265" i="3" s="1"/>
  <c r="B265" i="3"/>
  <c r="A265" i="3"/>
  <c r="H264" i="3"/>
  <c r="G264" i="3"/>
  <c r="F264" i="3"/>
  <c r="E264" i="3"/>
  <c r="D264" i="3"/>
  <c r="C264" i="3"/>
  <c r="B264" i="3"/>
  <c r="A264" i="3"/>
  <c r="H263" i="3"/>
  <c r="G263" i="3"/>
  <c r="E263" i="3"/>
  <c r="D263" i="3"/>
  <c r="C263" i="3"/>
  <c r="B263" i="3"/>
  <c r="A263" i="3"/>
  <c r="H262" i="3"/>
  <c r="G262" i="3"/>
  <c r="D262" i="3"/>
  <c r="C262" i="3"/>
  <c r="E262" i="3" s="1"/>
  <c r="B262" i="3"/>
  <c r="A262" i="3"/>
  <c r="H261" i="3"/>
  <c r="G261" i="3"/>
  <c r="F261" i="3"/>
  <c r="D261" i="3"/>
  <c r="C261" i="3"/>
  <c r="E261" i="3" s="1"/>
  <c r="B261" i="3"/>
  <c r="A261" i="3"/>
  <c r="H260" i="3"/>
  <c r="G260" i="3"/>
  <c r="E260" i="3"/>
  <c r="F260" i="3" s="1"/>
  <c r="D260" i="3"/>
  <c r="C260" i="3"/>
  <c r="B260" i="3"/>
  <c r="A260" i="3"/>
  <c r="H259" i="3"/>
  <c r="G259" i="3"/>
  <c r="E259" i="3"/>
  <c r="D259" i="3"/>
  <c r="F259" i="3" s="1"/>
  <c r="C259" i="3"/>
  <c r="B259" i="3"/>
  <c r="A259" i="3"/>
  <c r="H258" i="3"/>
  <c r="G258" i="3"/>
  <c r="D258" i="3"/>
  <c r="F258" i="3" s="1"/>
  <c r="C258" i="3"/>
  <c r="E258" i="3" s="1"/>
  <c r="B258" i="3"/>
  <c r="A258" i="3"/>
  <c r="H257" i="3"/>
  <c r="G257" i="3"/>
  <c r="D257" i="3"/>
  <c r="C257" i="3"/>
  <c r="E257" i="3" s="1"/>
  <c r="F257" i="3" s="1"/>
  <c r="B257" i="3"/>
  <c r="A257" i="3"/>
  <c r="H256" i="3"/>
  <c r="G256" i="3"/>
  <c r="F256" i="3"/>
  <c r="E256" i="3"/>
  <c r="D256" i="3"/>
  <c r="C256" i="3"/>
  <c r="B256" i="3"/>
  <c r="A256" i="3"/>
  <c r="H255" i="3"/>
  <c r="G255" i="3"/>
  <c r="E255" i="3"/>
  <c r="D255" i="3"/>
  <c r="C255" i="3"/>
  <c r="B255" i="3"/>
  <c r="A255" i="3"/>
  <c r="H254" i="3"/>
  <c r="G254" i="3"/>
  <c r="D254" i="3"/>
  <c r="C254" i="3"/>
  <c r="E254" i="3" s="1"/>
  <c r="F254" i="3" s="1"/>
  <c r="B254" i="3"/>
  <c r="A254" i="3"/>
  <c r="I253" i="3"/>
  <c r="H253" i="3"/>
  <c r="G253" i="3"/>
  <c r="E253" i="3"/>
  <c r="F253" i="3" s="1"/>
  <c r="D253" i="3"/>
  <c r="C253" i="3"/>
  <c r="B253" i="3"/>
  <c r="A253" i="3"/>
  <c r="H252" i="3"/>
  <c r="G252" i="3"/>
  <c r="E252" i="3"/>
  <c r="D252" i="3"/>
  <c r="F252" i="3" s="1"/>
  <c r="C252" i="3"/>
  <c r="B252" i="3"/>
  <c r="A252" i="3"/>
  <c r="H251" i="3"/>
  <c r="G251" i="3"/>
  <c r="D251" i="3"/>
  <c r="F251" i="3" s="1"/>
  <c r="C251" i="3"/>
  <c r="E251" i="3" s="1"/>
  <c r="B251" i="3"/>
  <c r="A251" i="3"/>
  <c r="H250" i="3"/>
  <c r="G250" i="3"/>
  <c r="F250" i="3"/>
  <c r="D250" i="3"/>
  <c r="C250" i="3"/>
  <c r="E250" i="3" s="1"/>
  <c r="B250" i="3"/>
  <c r="A250" i="3"/>
  <c r="H249" i="3"/>
  <c r="G249" i="3"/>
  <c r="E249" i="3"/>
  <c r="F249" i="3" s="1"/>
  <c r="D249" i="3"/>
  <c r="C249" i="3"/>
  <c r="B249" i="3"/>
  <c r="A249" i="3"/>
  <c r="H248" i="3"/>
  <c r="G248" i="3"/>
  <c r="E248" i="3"/>
  <c r="D248" i="3"/>
  <c r="F248" i="3" s="1"/>
  <c r="C248" i="3"/>
  <c r="B248" i="3"/>
  <c r="A248" i="3"/>
  <c r="H247" i="3"/>
  <c r="G247" i="3"/>
  <c r="D247" i="3"/>
  <c r="C247" i="3"/>
  <c r="E247" i="3" s="1"/>
  <c r="B247" i="3"/>
  <c r="A247" i="3"/>
  <c r="H246" i="3"/>
  <c r="G246" i="3"/>
  <c r="D246" i="3"/>
  <c r="C246" i="3"/>
  <c r="E246" i="3" s="1"/>
  <c r="F246" i="3" s="1"/>
  <c r="B246" i="3"/>
  <c r="A246" i="3"/>
  <c r="I245" i="3"/>
  <c r="H245" i="3"/>
  <c r="G245" i="3"/>
  <c r="E245" i="3"/>
  <c r="F245" i="3" s="1"/>
  <c r="D245" i="3"/>
  <c r="C245" i="3"/>
  <c r="B245" i="3"/>
  <c r="A245" i="3"/>
  <c r="H244" i="3"/>
  <c r="G244" i="3"/>
  <c r="E244" i="3"/>
  <c r="D244" i="3"/>
  <c r="F244" i="3" s="1"/>
  <c r="C244" i="3"/>
  <c r="B244" i="3"/>
  <c r="A244" i="3"/>
  <c r="H243" i="3"/>
  <c r="G243" i="3"/>
  <c r="D243" i="3"/>
  <c r="F243" i="3" s="1"/>
  <c r="C243" i="3"/>
  <c r="E243" i="3" s="1"/>
  <c r="B243" i="3"/>
  <c r="A243" i="3"/>
  <c r="H242" i="3"/>
  <c r="G242" i="3"/>
  <c r="F242" i="3"/>
  <c r="D242" i="3"/>
  <c r="C242" i="3"/>
  <c r="E242" i="3" s="1"/>
  <c r="B242" i="3"/>
  <c r="A242" i="3"/>
  <c r="H241" i="3"/>
  <c r="G241" i="3"/>
  <c r="E241" i="3"/>
  <c r="F241" i="3" s="1"/>
  <c r="D241" i="3"/>
  <c r="C241" i="3"/>
  <c r="B241" i="3"/>
  <c r="A241" i="3"/>
  <c r="H240" i="3"/>
  <c r="G240" i="3"/>
  <c r="E240" i="3"/>
  <c r="D240" i="3"/>
  <c r="F240" i="3" s="1"/>
  <c r="C240" i="3"/>
  <c r="B240" i="3"/>
  <c r="A240" i="3"/>
  <c r="H239" i="3"/>
  <c r="G239" i="3"/>
  <c r="D239" i="3"/>
  <c r="C239" i="3"/>
  <c r="E239" i="3" s="1"/>
  <c r="B239" i="3"/>
  <c r="A239" i="3"/>
  <c r="H238" i="3"/>
  <c r="G238" i="3"/>
  <c r="D238" i="3"/>
  <c r="C238" i="3"/>
  <c r="E238" i="3" s="1"/>
  <c r="F238" i="3" s="1"/>
  <c r="B238" i="3"/>
  <c r="A238" i="3"/>
  <c r="I237" i="3"/>
  <c r="H237" i="3"/>
  <c r="G237" i="3"/>
  <c r="E237" i="3"/>
  <c r="F237" i="3" s="1"/>
  <c r="D237" i="3"/>
  <c r="C237" i="3"/>
  <c r="B237" i="3"/>
  <c r="A237" i="3"/>
  <c r="H236" i="3"/>
  <c r="G236" i="3"/>
  <c r="E236" i="3"/>
  <c r="D236" i="3"/>
  <c r="F236" i="3" s="1"/>
  <c r="C236" i="3"/>
  <c r="B236" i="3"/>
  <c r="A236" i="3"/>
  <c r="H235" i="3"/>
  <c r="G235" i="3"/>
  <c r="D235" i="3"/>
  <c r="F235" i="3" s="1"/>
  <c r="C235" i="3"/>
  <c r="E235" i="3" s="1"/>
  <c r="B235" i="3"/>
  <c r="A235" i="3"/>
  <c r="H234" i="3"/>
  <c r="G234" i="3"/>
  <c r="F234" i="3"/>
  <c r="D234" i="3"/>
  <c r="C234" i="3"/>
  <c r="E234" i="3" s="1"/>
  <c r="B234" i="3"/>
  <c r="A234" i="3"/>
  <c r="H233" i="3"/>
  <c r="G233" i="3"/>
  <c r="E233" i="3"/>
  <c r="F233" i="3" s="1"/>
  <c r="D233" i="3"/>
  <c r="C233" i="3"/>
  <c r="B233" i="3"/>
  <c r="A233" i="3"/>
  <c r="H232" i="3"/>
  <c r="G232" i="3"/>
  <c r="E232" i="3"/>
  <c r="D232" i="3"/>
  <c r="F232" i="3" s="1"/>
  <c r="C232" i="3"/>
  <c r="B232" i="3"/>
  <c r="A232" i="3"/>
  <c r="H231" i="3"/>
  <c r="G231" i="3"/>
  <c r="D231" i="3"/>
  <c r="C231" i="3"/>
  <c r="E231" i="3" s="1"/>
  <c r="B231" i="3"/>
  <c r="A231" i="3"/>
  <c r="H230" i="3"/>
  <c r="G230" i="3"/>
  <c r="D230" i="3"/>
  <c r="C230" i="3"/>
  <c r="E230" i="3" s="1"/>
  <c r="F230" i="3" s="1"/>
  <c r="B230" i="3"/>
  <c r="A230" i="3"/>
  <c r="I229" i="3"/>
  <c r="H229" i="3"/>
  <c r="G229" i="3"/>
  <c r="E229" i="3"/>
  <c r="F229" i="3" s="1"/>
  <c r="D229" i="3"/>
  <c r="C229" i="3"/>
  <c r="B229" i="3"/>
  <c r="A229" i="3"/>
  <c r="H228" i="3"/>
  <c r="G228" i="3"/>
  <c r="E228" i="3"/>
  <c r="D228" i="3"/>
  <c r="F228" i="3" s="1"/>
  <c r="C228" i="3"/>
  <c r="B228" i="3"/>
  <c r="A228" i="3"/>
  <c r="H227" i="3"/>
  <c r="G227" i="3"/>
  <c r="D227" i="3"/>
  <c r="F227" i="3" s="1"/>
  <c r="C227" i="3"/>
  <c r="E227" i="3" s="1"/>
  <c r="B227" i="3"/>
  <c r="A227" i="3"/>
  <c r="H226" i="3"/>
  <c r="G226" i="3"/>
  <c r="F226" i="3"/>
  <c r="D226" i="3"/>
  <c r="C226" i="3"/>
  <c r="E226" i="3" s="1"/>
  <c r="B226" i="3"/>
  <c r="A226" i="3"/>
  <c r="H225" i="3"/>
  <c r="G225" i="3"/>
  <c r="E225" i="3"/>
  <c r="F225" i="3" s="1"/>
  <c r="D225" i="3"/>
  <c r="C225" i="3"/>
  <c r="B225" i="3"/>
  <c r="A225" i="3"/>
  <c r="H224" i="3"/>
  <c r="G224" i="3"/>
  <c r="E224" i="3"/>
  <c r="D224" i="3"/>
  <c r="F224" i="3" s="1"/>
  <c r="C224" i="3"/>
  <c r="B224" i="3"/>
  <c r="A224" i="3"/>
  <c r="H223" i="3"/>
  <c r="G223" i="3"/>
  <c r="D223" i="3"/>
  <c r="C223" i="3"/>
  <c r="E223" i="3" s="1"/>
  <c r="B223" i="3"/>
  <c r="A223" i="3"/>
  <c r="H222" i="3"/>
  <c r="G222" i="3"/>
  <c r="D222" i="3"/>
  <c r="C222" i="3"/>
  <c r="E222" i="3" s="1"/>
  <c r="F222" i="3" s="1"/>
  <c r="B222" i="3"/>
  <c r="A222" i="3"/>
  <c r="I221" i="3"/>
  <c r="H221" i="3"/>
  <c r="G221" i="3"/>
  <c r="E221" i="3"/>
  <c r="F221" i="3" s="1"/>
  <c r="D221" i="3"/>
  <c r="C221" i="3"/>
  <c r="B221" i="3"/>
  <c r="A221" i="3"/>
  <c r="H220" i="3"/>
  <c r="G220" i="3"/>
  <c r="E220" i="3"/>
  <c r="D220" i="3"/>
  <c r="F220" i="3" s="1"/>
  <c r="C220" i="3"/>
  <c r="B220" i="3"/>
  <c r="A220" i="3"/>
  <c r="H219" i="3"/>
  <c r="G219" i="3"/>
  <c r="D219" i="3"/>
  <c r="F219" i="3" s="1"/>
  <c r="C219" i="3"/>
  <c r="E219" i="3" s="1"/>
  <c r="B219" i="3"/>
  <c r="A219" i="3"/>
  <c r="H218" i="3"/>
  <c r="G218" i="3"/>
  <c r="F218" i="3"/>
  <c r="D218" i="3"/>
  <c r="C218" i="3"/>
  <c r="E218" i="3" s="1"/>
  <c r="B218" i="3"/>
  <c r="A218" i="3"/>
  <c r="H217" i="3"/>
  <c r="G217" i="3"/>
  <c r="E217" i="3"/>
  <c r="F217" i="3" s="1"/>
  <c r="D217" i="3"/>
  <c r="C217" i="3"/>
  <c r="B217" i="3"/>
  <c r="A217" i="3"/>
  <c r="H216" i="3"/>
  <c r="G216" i="3"/>
  <c r="E216" i="3"/>
  <c r="D216" i="3"/>
  <c r="F216" i="3" s="1"/>
  <c r="C216" i="3"/>
  <c r="B216" i="3"/>
  <c r="A216" i="3"/>
  <c r="H215" i="3"/>
  <c r="G215" i="3"/>
  <c r="D215" i="3"/>
  <c r="C215" i="3"/>
  <c r="E215" i="3" s="1"/>
  <c r="B215" i="3"/>
  <c r="A215" i="3"/>
  <c r="H214" i="3"/>
  <c r="G214" i="3"/>
  <c r="D214" i="3"/>
  <c r="C214" i="3"/>
  <c r="E214" i="3" s="1"/>
  <c r="F214" i="3" s="1"/>
  <c r="B214" i="3"/>
  <c r="A214" i="3"/>
  <c r="I213" i="3"/>
  <c r="H213" i="3"/>
  <c r="G213" i="3"/>
  <c r="E213" i="3"/>
  <c r="F213" i="3" s="1"/>
  <c r="D213" i="3"/>
  <c r="C213" i="3"/>
  <c r="B213" i="3"/>
  <c r="A213" i="3"/>
  <c r="H212" i="3"/>
  <c r="G212" i="3"/>
  <c r="E212" i="3"/>
  <c r="D212" i="3"/>
  <c r="F212" i="3" s="1"/>
  <c r="C212" i="3"/>
  <c r="B212" i="3"/>
  <c r="A212" i="3"/>
  <c r="H211" i="3"/>
  <c r="G211" i="3"/>
  <c r="D211" i="3"/>
  <c r="F211" i="3" s="1"/>
  <c r="C211" i="3"/>
  <c r="E211" i="3" s="1"/>
  <c r="B211" i="3"/>
  <c r="A211" i="3"/>
  <c r="H210" i="3"/>
  <c r="G210" i="3"/>
  <c r="F210" i="3"/>
  <c r="D210" i="3"/>
  <c r="C210" i="3"/>
  <c r="E210" i="3" s="1"/>
  <c r="B210" i="3"/>
  <c r="A210" i="3"/>
  <c r="H209" i="3"/>
  <c r="G209" i="3"/>
  <c r="E209" i="3"/>
  <c r="F209" i="3" s="1"/>
  <c r="D209" i="3"/>
  <c r="C209" i="3"/>
  <c r="B209" i="3"/>
  <c r="A209" i="3"/>
  <c r="H208" i="3"/>
  <c r="G208" i="3"/>
  <c r="E208" i="3"/>
  <c r="D208" i="3"/>
  <c r="F208" i="3" s="1"/>
  <c r="C208" i="3"/>
  <c r="B208" i="3"/>
  <c r="A208" i="3"/>
  <c r="H207" i="3"/>
  <c r="G207" i="3"/>
  <c r="D207" i="3"/>
  <c r="C207" i="3"/>
  <c r="E207" i="3" s="1"/>
  <c r="B207" i="3"/>
  <c r="A207" i="3"/>
  <c r="H206" i="3"/>
  <c r="G206" i="3"/>
  <c r="D206" i="3"/>
  <c r="C206" i="3"/>
  <c r="E206" i="3" s="1"/>
  <c r="F206" i="3" s="1"/>
  <c r="B206" i="3"/>
  <c r="A206" i="3"/>
  <c r="I205" i="3"/>
  <c r="H205" i="3"/>
  <c r="G205" i="3"/>
  <c r="E205" i="3"/>
  <c r="F205" i="3" s="1"/>
  <c r="D205" i="3"/>
  <c r="C205" i="3"/>
  <c r="B205" i="3"/>
  <c r="A205" i="3"/>
  <c r="H204" i="3"/>
  <c r="G204" i="3"/>
  <c r="E204" i="3"/>
  <c r="D204" i="3"/>
  <c r="F204" i="3" s="1"/>
  <c r="C204" i="3"/>
  <c r="B204" i="3"/>
  <c r="A204" i="3"/>
  <c r="H203" i="3"/>
  <c r="G203" i="3"/>
  <c r="D203" i="3"/>
  <c r="F203" i="3" s="1"/>
  <c r="C203" i="3"/>
  <c r="E203" i="3" s="1"/>
  <c r="B203" i="3"/>
  <c r="A203" i="3"/>
  <c r="H202" i="3"/>
  <c r="G202" i="3"/>
  <c r="F202" i="3"/>
  <c r="D202" i="3"/>
  <c r="C202" i="3"/>
  <c r="E202" i="3" s="1"/>
  <c r="B202" i="3"/>
  <c r="A202" i="3"/>
  <c r="I201" i="3"/>
  <c r="H201" i="3"/>
  <c r="G201" i="3"/>
  <c r="E201" i="3"/>
  <c r="F201" i="3" s="1"/>
  <c r="D201" i="3"/>
  <c r="C201" i="3"/>
  <c r="B201" i="3"/>
  <c r="A201" i="3"/>
  <c r="H200" i="3"/>
  <c r="G200" i="3"/>
  <c r="E200" i="3"/>
  <c r="D200" i="3"/>
  <c r="F200" i="3" s="1"/>
  <c r="C200" i="3"/>
  <c r="B200" i="3"/>
  <c r="A200" i="3"/>
  <c r="H199" i="3"/>
  <c r="G199" i="3"/>
  <c r="D199" i="3"/>
  <c r="F199" i="3" s="1"/>
  <c r="C199" i="3"/>
  <c r="E199" i="3" s="1"/>
  <c r="B199" i="3"/>
  <c r="A199" i="3"/>
  <c r="H198" i="3"/>
  <c r="G198" i="3"/>
  <c r="D198" i="3"/>
  <c r="C198" i="3"/>
  <c r="E198" i="3" s="1"/>
  <c r="F198" i="3" s="1"/>
  <c r="B198" i="3"/>
  <c r="A198" i="3"/>
  <c r="H197" i="3"/>
  <c r="G197" i="3"/>
  <c r="F197" i="3"/>
  <c r="E197" i="3"/>
  <c r="D197" i="3"/>
  <c r="C197" i="3"/>
  <c r="B197" i="3"/>
  <c r="A197" i="3"/>
  <c r="H196" i="3"/>
  <c r="G196" i="3"/>
  <c r="E196" i="3"/>
  <c r="D196" i="3"/>
  <c r="C196" i="3"/>
  <c r="B196" i="3"/>
  <c r="A196" i="3"/>
  <c r="H195" i="3"/>
  <c r="G195" i="3"/>
  <c r="D195" i="3"/>
  <c r="C195" i="3"/>
  <c r="E195" i="3" s="1"/>
  <c r="B195" i="3"/>
  <c r="A195" i="3"/>
  <c r="H194" i="3"/>
  <c r="G194" i="3"/>
  <c r="F194" i="3"/>
  <c r="D194" i="3"/>
  <c r="C194" i="3"/>
  <c r="E194" i="3" s="1"/>
  <c r="B194" i="3"/>
  <c r="A194" i="3"/>
  <c r="I193" i="3"/>
  <c r="H193" i="3"/>
  <c r="G193" i="3"/>
  <c r="E193" i="3"/>
  <c r="F193" i="3" s="1"/>
  <c r="D193" i="3"/>
  <c r="C193" i="3"/>
  <c r="B193" i="3"/>
  <c r="A193" i="3"/>
  <c r="H192" i="3"/>
  <c r="G192" i="3"/>
  <c r="E192" i="3"/>
  <c r="D192" i="3"/>
  <c r="F192" i="3" s="1"/>
  <c r="C192" i="3"/>
  <c r="B192" i="3"/>
  <c r="A192" i="3"/>
  <c r="H191" i="3"/>
  <c r="G191" i="3"/>
  <c r="D191" i="3"/>
  <c r="F191" i="3" s="1"/>
  <c r="C191" i="3"/>
  <c r="E191" i="3" s="1"/>
  <c r="B191" i="3"/>
  <c r="A191" i="3"/>
  <c r="H190" i="3"/>
  <c r="G190" i="3"/>
  <c r="D190" i="3"/>
  <c r="C190" i="3"/>
  <c r="E190" i="3" s="1"/>
  <c r="F190" i="3" s="1"/>
  <c r="B190" i="3"/>
  <c r="A190" i="3"/>
  <c r="H189" i="3"/>
  <c r="G189" i="3"/>
  <c r="F189" i="3"/>
  <c r="E189" i="3"/>
  <c r="D189" i="3"/>
  <c r="C189" i="3"/>
  <c r="B189" i="3"/>
  <c r="A189" i="3"/>
  <c r="H188" i="3"/>
  <c r="G188" i="3"/>
  <c r="E188" i="3"/>
  <c r="D188" i="3"/>
  <c r="C188" i="3"/>
  <c r="B188" i="3"/>
  <c r="A188" i="3"/>
  <c r="H187" i="3"/>
  <c r="G187" i="3"/>
  <c r="D187" i="3"/>
  <c r="C187" i="3"/>
  <c r="E187" i="3" s="1"/>
  <c r="B187" i="3"/>
  <c r="A187" i="3"/>
  <c r="H186" i="3"/>
  <c r="G186" i="3"/>
  <c r="F186" i="3"/>
  <c r="D186" i="3"/>
  <c r="C186" i="3"/>
  <c r="E186" i="3" s="1"/>
  <c r="B186" i="3"/>
  <c r="A186" i="3"/>
  <c r="I185" i="3"/>
  <c r="H185" i="3"/>
  <c r="G185" i="3"/>
  <c r="E185" i="3"/>
  <c r="F185" i="3" s="1"/>
  <c r="D185" i="3"/>
  <c r="C185" i="3"/>
  <c r="B185" i="3"/>
  <c r="A185" i="3"/>
  <c r="H184" i="3"/>
  <c r="G184" i="3"/>
  <c r="E184" i="3"/>
  <c r="D184" i="3"/>
  <c r="F184" i="3" s="1"/>
  <c r="C184" i="3"/>
  <c r="B184" i="3"/>
  <c r="A184" i="3"/>
  <c r="H183" i="3"/>
  <c r="G183" i="3"/>
  <c r="D183" i="3"/>
  <c r="F183" i="3" s="1"/>
  <c r="C183" i="3"/>
  <c r="E183" i="3" s="1"/>
  <c r="B183" i="3"/>
  <c r="A183" i="3"/>
  <c r="H182" i="3"/>
  <c r="G182" i="3"/>
  <c r="D182" i="3"/>
  <c r="C182" i="3"/>
  <c r="E182" i="3" s="1"/>
  <c r="F182" i="3" s="1"/>
  <c r="B182" i="3"/>
  <c r="A182" i="3"/>
  <c r="H181" i="3"/>
  <c r="G181" i="3"/>
  <c r="F181" i="3"/>
  <c r="E181" i="3"/>
  <c r="D181" i="3"/>
  <c r="C181" i="3"/>
  <c r="B181" i="3"/>
  <c r="A181" i="3"/>
  <c r="H180" i="3"/>
  <c r="G180" i="3"/>
  <c r="E180" i="3"/>
  <c r="D180" i="3"/>
  <c r="C180" i="3"/>
  <c r="B180" i="3"/>
  <c r="A180" i="3"/>
  <c r="H179" i="3"/>
  <c r="G179" i="3"/>
  <c r="D179" i="3"/>
  <c r="C179" i="3"/>
  <c r="E179" i="3" s="1"/>
  <c r="B179" i="3"/>
  <c r="A179" i="3"/>
  <c r="H178" i="3"/>
  <c r="G178" i="3"/>
  <c r="F178" i="3"/>
  <c r="D178" i="3"/>
  <c r="C178" i="3"/>
  <c r="E178" i="3" s="1"/>
  <c r="B178" i="3"/>
  <c r="A178" i="3"/>
  <c r="I177" i="3"/>
  <c r="H177" i="3"/>
  <c r="G177" i="3"/>
  <c r="E177" i="3"/>
  <c r="F177" i="3" s="1"/>
  <c r="D177" i="3"/>
  <c r="C177" i="3"/>
  <c r="B177" i="3"/>
  <c r="A177" i="3"/>
  <c r="H176" i="3"/>
  <c r="G176" i="3"/>
  <c r="E176" i="3"/>
  <c r="D176" i="3"/>
  <c r="F176" i="3" s="1"/>
  <c r="C176" i="3"/>
  <c r="B176" i="3"/>
  <c r="A176" i="3"/>
  <c r="H175" i="3"/>
  <c r="G175" i="3"/>
  <c r="D175" i="3"/>
  <c r="F175" i="3" s="1"/>
  <c r="C175" i="3"/>
  <c r="E175" i="3" s="1"/>
  <c r="B175" i="3"/>
  <c r="A175" i="3"/>
  <c r="H174" i="3"/>
  <c r="G174" i="3"/>
  <c r="D174" i="3"/>
  <c r="C174" i="3"/>
  <c r="E174" i="3" s="1"/>
  <c r="F174" i="3" s="1"/>
  <c r="B174" i="3"/>
  <c r="A174" i="3"/>
  <c r="H173" i="3"/>
  <c r="G173" i="3"/>
  <c r="F173" i="3"/>
  <c r="E173" i="3"/>
  <c r="D173" i="3"/>
  <c r="C173" i="3"/>
  <c r="B173" i="3"/>
  <c r="A173" i="3"/>
  <c r="H172" i="3"/>
  <c r="G172" i="3"/>
  <c r="E172" i="3"/>
  <c r="D172" i="3"/>
  <c r="C172" i="3"/>
  <c r="B172" i="3"/>
  <c r="A172" i="3"/>
  <c r="H171" i="3"/>
  <c r="G171" i="3"/>
  <c r="D171" i="3"/>
  <c r="C171" i="3"/>
  <c r="E171" i="3" s="1"/>
  <c r="B171" i="3"/>
  <c r="A171" i="3"/>
  <c r="H170" i="3"/>
  <c r="G170" i="3"/>
  <c r="F170" i="3"/>
  <c r="D170" i="3"/>
  <c r="C170" i="3"/>
  <c r="E170" i="3" s="1"/>
  <c r="B170" i="3"/>
  <c r="A170" i="3"/>
  <c r="I169" i="3"/>
  <c r="H169" i="3"/>
  <c r="G169" i="3"/>
  <c r="E169" i="3"/>
  <c r="F169" i="3" s="1"/>
  <c r="D169" i="3"/>
  <c r="C169" i="3"/>
  <c r="B169" i="3"/>
  <c r="A169" i="3"/>
  <c r="I168" i="3"/>
  <c r="H168" i="3"/>
  <c r="G168" i="3"/>
  <c r="E168" i="3"/>
  <c r="D168" i="3"/>
  <c r="F168" i="3" s="1"/>
  <c r="C168" i="3"/>
  <c r="B168" i="3"/>
  <c r="A168" i="3"/>
  <c r="J167" i="3"/>
  <c r="H167" i="3"/>
  <c r="G167" i="3"/>
  <c r="D167" i="3"/>
  <c r="F167" i="3" s="1"/>
  <c r="C167" i="3"/>
  <c r="E167" i="3" s="1"/>
  <c r="B167" i="3"/>
  <c r="A167" i="3"/>
  <c r="J166" i="3"/>
  <c r="H166" i="3"/>
  <c r="G166" i="3"/>
  <c r="D166" i="3"/>
  <c r="C166" i="3"/>
  <c r="E166" i="3" s="1"/>
  <c r="F166" i="3" s="1"/>
  <c r="B166" i="3"/>
  <c r="A166" i="3"/>
  <c r="H165" i="3"/>
  <c r="G165" i="3"/>
  <c r="E165" i="3"/>
  <c r="D165" i="3"/>
  <c r="F165" i="3" s="1"/>
  <c r="C165" i="3"/>
  <c r="B165" i="3"/>
  <c r="A165" i="3"/>
  <c r="H164" i="3"/>
  <c r="G164" i="3"/>
  <c r="D164" i="3"/>
  <c r="C164" i="3"/>
  <c r="E164" i="3" s="1"/>
  <c r="B164" i="3"/>
  <c r="A164" i="3"/>
  <c r="H163" i="3"/>
  <c r="G163" i="3"/>
  <c r="D163" i="3"/>
  <c r="C163" i="3"/>
  <c r="E163" i="3" s="1"/>
  <c r="B163" i="3"/>
  <c r="A163" i="3"/>
  <c r="I162" i="3"/>
  <c r="H162" i="3"/>
  <c r="G162" i="3"/>
  <c r="E162" i="3"/>
  <c r="F162" i="3" s="1"/>
  <c r="D162" i="3"/>
  <c r="C162" i="3"/>
  <c r="B162" i="3"/>
  <c r="A162" i="3"/>
  <c r="J161" i="3"/>
  <c r="H161" i="3"/>
  <c r="G161" i="3"/>
  <c r="F161" i="3"/>
  <c r="E161" i="3"/>
  <c r="D161" i="3"/>
  <c r="C161" i="3"/>
  <c r="B161" i="3"/>
  <c r="A161" i="3"/>
  <c r="H160" i="3"/>
  <c r="G160" i="3"/>
  <c r="D160" i="3"/>
  <c r="C160" i="3"/>
  <c r="E160" i="3" s="1"/>
  <c r="B160" i="3"/>
  <c r="A160" i="3"/>
  <c r="H159" i="3"/>
  <c r="G159" i="3"/>
  <c r="D159" i="3"/>
  <c r="C159" i="3"/>
  <c r="E159" i="3" s="1"/>
  <c r="F159" i="3" s="1"/>
  <c r="B159" i="3"/>
  <c r="A159" i="3"/>
  <c r="H158" i="3"/>
  <c r="G158" i="3"/>
  <c r="E158" i="3"/>
  <c r="F158" i="3" s="1"/>
  <c r="D158" i="3"/>
  <c r="C158" i="3"/>
  <c r="B158" i="3"/>
  <c r="A158" i="3"/>
  <c r="I157" i="3"/>
  <c r="H157" i="3"/>
  <c r="G157" i="3"/>
  <c r="E157" i="3"/>
  <c r="F157" i="3" s="1"/>
  <c r="D157" i="3"/>
  <c r="C157" i="3"/>
  <c r="B157" i="3"/>
  <c r="A157" i="3"/>
  <c r="H156" i="3"/>
  <c r="G156" i="3"/>
  <c r="E156" i="3"/>
  <c r="D156" i="3"/>
  <c r="C156" i="3"/>
  <c r="B156" i="3"/>
  <c r="A156" i="3"/>
  <c r="H155" i="3"/>
  <c r="G155" i="3"/>
  <c r="F155" i="3"/>
  <c r="D155" i="3"/>
  <c r="C155" i="3"/>
  <c r="E155" i="3" s="1"/>
  <c r="B155" i="3"/>
  <c r="A155" i="3"/>
  <c r="H154" i="3"/>
  <c r="G154" i="3"/>
  <c r="D154" i="3"/>
  <c r="C154" i="3"/>
  <c r="E154" i="3" s="1"/>
  <c r="F154" i="3" s="1"/>
  <c r="B154" i="3"/>
  <c r="A154" i="3"/>
  <c r="H153" i="3"/>
  <c r="G153" i="3"/>
  <c r="E153" i="3"/>
  <c r="D153" i="3"/>
  <c r="F153" i="3" s="1"/>
  <c r="C153" i="3"/>
  <c r="B153" i="3"/>
  <c r="A153" i="3"/>
  <c r="I152" i="3"/>
  <c r="H152" i="3"/>
  <c r="G152" i="3"/>
  <c r="E152" i="3"/>
  <c r="D152" i="3"/>
  <c r="F152" i="3" s="1"/>
  <c r="C152" i="3"/>
  <c r="B152" i="3"/>
  <c r="A152" i="3"/>
  <c r="J151" i="3"/>
  <c r="H151" i="3"/>
  <c r="G151" i="3"/>
  <c r="D151" i="3"/>
  <c r="F151" i="3" s="1"/>
  <c r="C151" i="3"/>
  <c r="E151" i="3" s="1"/>
  <c r="B151" i="3"/>
  <c r="A151" i="3"/>
  <c r="J150" i="3"/>
  <c r="H150" i="3"/>
  <c r="G150" i="3"/>
  <c r="D150" i="3"/>
  <c r="C150" i="3"/>
  <c r="E150" i="3" s="1"/>
  <c r="F150" i="3" s="1"/>
  <c r="B150" i="3"/>
  <c r="A150" i="3"/>
  <c r="H149" i="3"/>
  <c r="G149" i="3"/>
  <c r="E149" i="3"/>
  <c r="D149" i="3"/>
  <c r="F149" i="3" s="1"/>
  <c r="C149" i="3"/>
  <c r="B149" i="3"/>
  <c r="A149" i="3"/>
  <c r="H148" i="3"/>
  <c r="G148" i="3"/>
  <c r="D148" i="3"/>
  <c r="C148" i="3"/>
  <c r="E148" i="3" s="1"/>
  <c r="B148" i="3"/>
  <c r="A148" i="3"/>
  <c r="H147" i="3"/>
  <c r="G147" i="3"/>
  <c r="D147" i="3"/>
  <c r="C147" i="3"/>
  <c r="E147" i="3" s="1"/>
  <c r="B147" i="3"/>
  <c r="A147" i="3"/>
  <c r="I146" i="3"/>
  <c r="H146" i="3"/>
  <c r="G146" i="3"/>
  <c r="E146" i="3"/>
  <c r="F146" i="3" s="1"/>
  <c r="D146" i="3"/>
  <c r="C146" i="3"/>
  <c r="B146" i="3"/>
  <c r="A146" i="3"/>
  <c r="J145" i="3"/>
  <c r="H145" i="3"/>
  <c r="G145" i="3"/>
  <c r="F145" i="3"/>
  <c r="E145" i="3"/>
  <c r="D145" i="3"/>
  <c r="C145" i="3"/>
  <c r="B145" i="3"/>
  <c r="A145" i="3"/>
  <c r="H144" i="3"/>
  <c r="G144" i="3"/>
  <c r="D144" i="3"/>
  <c r="C144" i="3"/>
  <c r="E144" i="3" s="1"/>
  <c r="B144" i="3"/>
  <c r="A144" i="3"/>
  <c r="H143" i="3"/>
  <c r="G143" i="3"/>
  <c r="D143" i="3"/>
  <c r="C143" i="3"/>
  <c r="E143" i="3" s="1"/>
  <c r="F143" i="3" s="1"/>
  <c r="B143" i="3"/>
  <c r="A143" i="3"/>
  <c r="H142" i="3"/>
  <c r="G142" i="3"/>
  <c r="E142" i="3"/>
  <c r="F142" i="3" s="1"/>
  <c r="D142" i="3"/>
  <c r="C142" i="3"/>
  <c r="B142" i="3"/>
  <c r="A142" i="3"/>
  <c r="I141" i="3"/>
  <c r="H141" i="3"/>
  <c r="G141" i="3"/>
  <c r="E141" i="3"/>
  <c r="F141" i="3" s="1"/>
  <c r="D141" i="3"/>
  <c r="C141" i="3"/>
  <c r="B141" i="3"/>
  <c r="A141" i="3"/>
  <c r="H140" i="3"/>
  <c r="G140" i="3"/>
  <c r="E140" i="3"/>
  <c r="D140" i="3"/>
  <c r="C140" i="3"/>
  <c r="B140" i="3"/>
  <c r="A140" i="3"/>
  <c r="H139" i="3"/>
  <c r="G139" i="3"/>
  <c r="F139" i="3"/>
  <c r="D139" i="3"/>
  <c r="C139" i="3"/>
  <c r="E139" i="3" s="1"/>
  <c r="B139" i="3"/>
  <c r="A139" i="3"/>
  <c r="H138" i="3"/>
  <c r="G138" i="3"/>
  <c r="D138" i="3"/>
  <c r="C138" i="3"/>
  <c r="E138" i="3" s="1"/>
  <c r="F138" i="3" s="1"/>
  <c r="B138" i="3"/>
  <c r="A138" i="3"/>
  <c r="H137" i="3"/>
  <c r="G137" i="3"/>
  <c r="E137" i="3"/>
  <c r="D137" i="3"/>
  <c r="F137" i="3" s="1"/>
  <c r="C137" i="3"/>
  <c r="B137" i="3"/>
  <c r="A137" i="3"/>
  <c r="I136" i="3"/>
  <c r="H136" i="3"/>
  <c r="G136" i="3"/>
  <c r="E136" i="3"/>
  <c r="D136" i="3"/>
  <c r="F136" i="3" s="1"/>
  <c r="C136" i="3"/>
  <c r="B136" i="3"/>
  <c r="A136" i="3"/>
  <c r="J135" i="3"/>
  <c r="H135" i="3"/>
  <c r="G135" i="3"/>
  <c r="D135" i="3"/>
  <c r="F135" i="3" s="1"/>
  <c r="C135" i="3"/>
  <c r="E135" i="3" s="1"/>
  <c r="B135" i="3"/>
  <c r="A135" i="3"/>
  <c r="J134" i="3"/>
  <c r="H134" i="3"/>
  <c r="G134" i="3"/>
  <c r="D134" i="3"/>
  <c r="C134" i="3"/>
  <c r="E134" i="3" s="1"/>
  <c r="F134" i="3" s="1"/>
  <c r="B134" i="3"/>
  <c r="A134" i="3"/>
  <c r="H133" i="3"/>
  <c r="G133" i="3"/>
  <c r="E133" i="3"/>
  <c r="D133" i="3"/>
  <c r="F133" i="3" s="1"/>
  <c r="C133" i="3"/>
  <c r="B133" i="3"/>
  <c r="A133" i="3"/>
  <c r="H132" i="3"/>
  <c r="G132" i="3"/>
  <c r="D132" i="3"/>
  <c r="C132" i="3"/>
  <c r="E132" i="3" s="1"/>
  <c r="B132" i="3"/>
  <c r="A132" i="3"/>
  <c r="I131" i="3"/>
  <c r="H131" i="3"/>
  <c r="G131" i="3"/>
  <c r="E131" i="3"/>
  <c r="F131" i="3" s="1"/>
  <c r="D131" i="3"/>
  <c r="C131" i="3"/>
  <c r="B131" i="3"/>
  <c r="A131" i="3"/>
  <c r="H130" i="3"/>
  <c r="G130" i="3"/>
  <c r="E130" i="3"/>
  <c r="D130" i="3"/>
  <c r="F130" i="3" s="1"/>
  <c r="C130" i="3"/>
  <c r="B130" i="3"/>
  <c r="A130" i="3"/>
  <c r="H129" i="3"/>
  <c r="G129" i="3"/>
  <c r="D129" i="3"/>
  <c r="C129" i="3"/>
  <c r="E129" i="3" s="1"/>
  <c r="B129" i="3"/>
  <c r="A129" i="3"/>
  <c r="J128" i="3"/>
  <c r="H128" i="3"/>
  <c r="G128" i="3"/>
  <c r="D128" i="3"/>
  <c r="C128" i="3"/>
  <c r="E128" i="3" s="1"/>
  <c r="F128" i="3" s="1"/>
  <c r="B128" i="3"/>
  <c r="A128" i="3"/>
  <c r="I127" i="3"/>
  <c r="H127" i="3"/>
  <c r="G127" i="3"/>
  <c r="E127" i="3"/>
  <c r="F127" i="3" s="1"/>
  <c r="D127" i="3"/>
  <c r="C127" i="3"/>
  <c r="B127" i="3"/>
  <c r="A127" i="3"/>
  <c r="H126" i="3"/>
  <c r="G126" i="3"/>
  <c r="E126" i="3"/>
  <c r="D126" i="3"/>
  <c r="F126" i="3" s="1"/>
  <c r="C126" i="3"/>
  <c r="B126" i="3"/>
  <c r="A126" i="3"/>
  <c r="H125" i="3"/>
  <c r="G125" i="3"/>
  <c r="D125" i="3"/>
  <c r="C125" i="3"/>
  <c r="E125" i="3" s="1"/>
  <c r="B125" i="3"/>
  <c r="A125" i="3"/>
  <c r="J124" i="3"/>
  <c r="H124" i="3"/>
  <c r="G124" i="3"/>
  <c r="F124" i="3"/>
  <c r="D124" i="3"/>
  <c r="C124" i="3"/>
  <c r="E124" i="3" s="1"/>
  <c r="B124" i="3"/>
  <c r="A124" i="3"/>
  <c r="I123" i="3"/>
  <c r="H123" i="3"/>
  <c r="G123" i="3"/>
  <c r="E123" i="3"/>
  <c r="F123" i="3" s="1"/>
  <c r="D123" i="3"/>
  <c r="C123" i="3"/>
  <c r="B123" i="3"/>
  <c r="A123" i="3"/>
  <c r="H122" i="3"/>
  <c r="G122" i="3"/>
  <c r="E122" i="3"/>
  <c r="D122" i="3"/>
  <c r="F122" i="3" s="1"/>
  <c r="C122" i="3"/>
  <c r="B122" i="3"/>
  <c r="A122" i="3"/>
  <c r="H121" i="3"/>
  <c r="G121" i="3"/>
  <c r="D121" i="3"/>
  <c r="C121" i="3"/>
  <c r="E121" i="3" s="1"/>
  <c r="B121" i="3"/>
  <c r="A121" i="3"/>
  <c r="J120" i="3"/>
  <c r="H120" i="3"/>
  <c r="G120" i="3"/>
  <c r="D120" i="3"/>
  <c r="C120" i="3"/>
  <c r="E120" i="3" s="1"/>
  <c r="F120" i="3" s="1"/>
  <c r="B120" i="3"/>
  <c r="A120" i="3"/>
  <c r="I119" i="3"/>
  <c r="H119" i="3"/>
  <c r="G119" i="3"/>
  <c r="E119" i="3"/>
  <c r="F119" i="3" s="1"/>
  <c r="D119" i="3"/>
  <c r="C119" i="3"/>
  <c r="B119" i="3"/>
  <c r="A119" i="3"/>
  <c r="H118" i="3"/>
  <c r="G118" i="3"/>
  <c r="E118" i="3"/>
  <c r="D118" i="3"/>
  <c r="F118" i="3" s="1"/>
  <c r="C118" i="3"/>
  <c r="B118" i="3"/>
  <c r="A118" i="3"/>
  <c r="H117" i="3"/>
  <c r="G117" i="3"/>
  <c r="D117" i="3"/>
  <c r="C117" i="3"/>
  <c r="E117" i="3" s="1"/>
  <c r="B117" i="3"/>
  <c r="A117" i="3"/>
  <c r="J116" i="3"/>
  <c r="H116" i="3"/>
  <c r="G116" i="3"/>
  <c r="F116" i="3"/>
  <c r="D116" i="3"/>
  <c r="C116" i="3"/>
  <c r="E116" i="3" s="1"/>
  <c r="B116" i="3"/>
  <c r="A116" i="3"/>
  <c r="I115" i="3"/>
  <c r="H115" i="3"/>
  <c r="G115" i="3"/>
  <c r="E115" i="3"/>
  <c r="F115" i="3" s="1"/>
  <c r="D115" i="3"/>
  <c r="C115" i="3"/>
  <c r="B115" i="3"/>
  <c r="A115" i="3"/>
  <c r="H114" i="3"/>
  <c r="G114" i="3"/>
  <c r="E114" i="3"/>
  <c r="D114" i="3"/>
  <c r="F114" i="3" s="1"/>
  <c r="C114" i="3"/>
  <c r="B114" i="3"/>
  <c r="A114" i="3"/>
  <c r="H113" i="3"/>
  <c r="G113" i="3"/>
  <c r="D113" i="3"/>
  <c r="C113" i="3"/>
  <c r="E113" i="3" s="1"/>
  <c r="B113" i="3"/>
  <c r="A113" i="3"/>
  <c r="J112" i="3"/>
  <c r="H112" i="3"/>
  <c r="G112" i="3"/>
  <c r="D112" i="3"/>
  <c r="C112" i="3"/>
  <c r="E112" i="3" s="1"/>
  <c r="F112" i="3" s="1"/>
  <c r="B112" i="3"/>
  <c r="A112" i="3"/>
  <c r="I111" i="3"/>
  <c r="H111" i="3"/>
  <c r="G111" i="3"/>
  <c r="E111" i="3"/>
  <c r="F111" i="3" s="1"/>
  <c r="D111" i="3"/>
  <c r="C111" i="3"/>
  <c r="B111" i="3"/>
  <c r="A111" i="3"/>
  <c r="H110" i="3"/>
  <c r="G110" i="3"/>
  <c r="E110" i="3"/>
  <c r="D110" i="3"/>
  <c r="F110" i="3" s="1"/>
  <c r="C110" i="3"/>
  <c r="B110" i="3"/>
  <c r="A110" i="3"/>
  <c r="H109" i="3"/>
  <c r="G109" i="3"/>
  <c r="D109" i="3"/>
  <c r="C109" i="3"/>
  <c r="E109" i="3" s="1"/>
  <c r="B109" i="3"/>
  <c r="A109" i="3"/>
  <c r="J108" i="3"/>
  <c r="H108" i="3"/>
  <c r="G108" i="3"/>
  <c r="F108" i="3"/>
  <c r="D108" i="3"/>
  <c r="C108" i="3"/>
  <c r="E108" i="3" s="1"/>
  <c r="B108" i="3"/>
  <c r="A108" i="3"/>
  <c r="I107" i="3"/>
  <c r="H107" i="3"/>
  <c r="G107" i="3"/>
  <c r="E107" i="3"/>
  <c r="F107" i="3" s="1"/>
  <c r="D107" i="3"/>
  <c r="C107" i="3"/>
  <c r="B107" i="3"/>
  <c r="A107" i="3"/>
  <c r="H106" i="3"/>
  <c r="G106" i="3"/>
  <c r="E106" i="3"/>
  <c r="D106" i="3"/>
  <c r="F106" i="3" s="1"/>
  <c r="C106" i="3"/>
  <c r="B106" i="3"/>
  <c r="A106" i="3"/>
  <c r="H105" i="3"/>
  <c r="G105" i="3"/>
  <c r="D105" i="3"/>
  <c r="C105" i="3"/>
  <c r="E105" i="3" s="1"/>
  <c r="B105" i="3"/>
  <c r="A105" i="3"/>
  <c r="J104" i="3"/>
  <c r="H104" i="3"/>
  <c r="G104" i="3"/>
  <c r="D104" i="3"/>
  <c r="C104" i="3"/>
  <c r="E104" i="3" s="1"/>
  <c r="F104" i="3" s="1"/>
  <c r="B104" i="3"/>
  <c r="A104" i="3"/>
  <c r="I103" i="3"/>
  <c r="H103" i="3"/>
  <c r="G103" i="3"/>
  <c r="E103" i="3"/>
  <c r="F103" i="3" s="1"/>
  <c r="D103" i="3"/>
  <c r="C103" i="3"/>
  <c r="B103" i="3"/>
  <c r="A103" i="3"/>
  <c r="H102" i="3"/>
  <c r="G102" i="3"/>
  <c r="E102" i="3"/>
  <c r="D102" i="3"/>
  <c r="F102" i="3" s="1"/>
  <c r="C102" i="3"/>
  <c r="B102" i="3"/>
  <c r="A102" i="3"/>
  <c r="H101" i="3"/>
  <c r="G101" i="3"/>
  <c r="D101" i="3"/>
  <c r="C101" i="3"/>
  <c r="E101" i="3" s="1"/>
  <c r="B101" i="3"/>
  <c r="A101" i="3"/>
  <c r="J100" i="3"/>
  <c r="H100" i="3"/>
  <c r="G100" i="3"/>
  <c r="F100" i="3"/>
  <c r="D100" i="3"/>
  <c r="C100" i="3"/>
  <c r="E100" i="3" s="1"/>
  <c r="B100" i="3"/>
  <c r="A100" i="3"/>
  <c r="I99" i="3"/>
  <c r="H99" i="3"/>
  <c r="G99" i="3"/>
  <c r="E99" i="3"/>
  <c r="F99" i="3" s="1"/>
  <c r="D99" i="3"/>
  <c r="C99" i="3"/>
  <c r="B99" i="3"/>
  <c r="A99" i="3"/>
  <c r="H98" i="3"/>
  <c r="G98" i="3"/>
  <c r="E98" i="3"/>
  <c r="D98" i="3"/>
  <c r="F98" i="3" s="1"/>
  <c r="C98" i="3"/>
  <c r="B98" i="3"/>
  <c r="A98" i="3"/>
  <c r="H97" i="3"/>
  <c r="G97" i="3"/>
  <c r="D97" i="3"/>
  <c r="C97" i="3"/>
  <c r="E97" i="3" s="1"/>
  <c r="B97" i="3"/>
  <c r="A97" i="3"/>
  <c r="J96" i="3"/>
  <c r="H96" i="3"/>
  <c r="G96" i="3"/>
  <c r="D96" i="3"/>
  <c r="C96" i="3"/>
  <c r="E96" i="3" s="1"/>
  <c r="F96" i="3" s="1"/>
  <c r="B96" i="3"/>
  <c r="A96" i="3"/>
  <c r="I95" i="3"/>
  <c r="H95" i="3"/>
  <c r="G95" i="3"/>
  <c r="E95" i="3"/>
  <c r="F95" i="3" s="1"/>
  <c r="D95" i="3"/>
  <c r="C95" i="3"/>
  <c r="B95" i="3"/>
  <c r="A95" i="3"/>
  <c r="H94" i="3"/>
  <c r="G94" i="3"/>
  <c r="E94" i="3"/>
  <c r="D94" i="3"/>
  <c r="F94" i="3" s="1"/>
  <c r="C94" i="3"/>
  <c r="B94" i="3"/>
  <c r="A94" i="3"/>
  <c r="H93" i="3"/>
  <c r="G93" i="3"/>
  <c r="D93" i="3"/>
  <c r="C93" i="3"/>
  <c r="E93" i="3" s="1"/>
  <c r="B93" i="3"/>
  <c r="A93" i="3"/>
  <c r="J92" i="3"/>
  <c r="H92" i="3"/>
  <c r="G92" i="3"/>
  <c r="F92" i="3"/>
  <c r="D92" i="3"/>
  <c r="C92" i="3"/>
  <c r="E92" i="3" s="1"/>
  <c r="B92" i="3"/>
  <c r="A92" i="3"/>
  <c r="I91" i="3"/>
  <c r="H91" i="3"/>
  <c r="G91" i="3"/>
  <c r="E91" i="3"/>
  <c r="F91" i="3" s="1"/>
  <c r="D91" i="3"/>
  <c r="C91" i="3"/>
  <c r="B91" i="3"/>
  <c r="A91" i="3"/>
  <c r="H90" i="3"/>
  <c r="G90" i="3"/>
  <c r="E90" i="3"/>
  <c r="D90" i="3"/>
  <c r="F90" i="3" s="1"/>
  <c r="C90" i="3"/>
  <c r="B90" i="3"/>
  <c r="A90" i="3"/>
  <c r="H89" i="3"/>
  <c r="G89" i="3"/>
  <c r="D89" i="3"/>
  <c r="C89" i="3"/>
  <c r="E89" i="3" s="1"/>
  <c r="B89" i="3"/>
  <c r="A89" i="3"/>
  <c r="J88" i="3"/>
  <c r="H88" i="3"/>
  <c r="G88" i="3"/>
  <c r="D88" i="3"/>
  <c r="C88" i="3"/>
  <c r="E88" i="3" s="1"/>
  <c r="F88" i="3" s="1"/>
  <c r="B88" i="3"/>
  <c r="A88" i="3"/>
  <c r="I87" i="3"/>
  <c r="H87" i="3"/>
  <c r="G87" i="3"/>
  <c r="E87" i="3"/>
  <c r="F87" i="3" s="1"/>
  <c r="D87" i="3"/>
  <c r="C87" i="3"/>
  <c r="B87" i="3"/>
  <c r="A87" i="3"/>
  <c r="H86" i="3"/>
  <c r="G86" i="3"/>
  <c r="E86" i="3"/>
  <c r="D86" i="3"/>
  <c r="F86" i="3" s="1"/>
  <c r="C86" i="3"/>
  <c r="B86" i="3"/>
  <c r="A86" i="3"/>
  <c r="H85" i="3"/>
  <c r="G85" i="3"/>
  <c r="D85" i="3"/>
  <c r="C85" i="3"/>
  <c r="E85" i="3" s="1"/>
  <c r="B85" i="3"/>
  <c r="A85" i="3"/>
  <c r="J84" i="3"/>
  <c r="H84" i="3"/>
  <c r="G84" i="3"/>
  <c r="F84" i="3"/>
  <c r="D84" i="3"/>
  <c r="C84" i="3"/>
  <c r="E84" i="3" s="1"/>
  <c r="B84" i="3"/>
  <c r="A84" i="3"/>
  <c r="I83" i="3"/>
  <c r="H83" i="3"/>
  <c r="G83" i="3"/>
  <c r="E83" i="3"/>
  <c r="F83" i="3" s="1"/>
  <c r="D83" i="3"/>
  <c r="C83" i="3"/>
  <c r="B83" i="3"/>
  <c r="A83" i="3"/>
  <c r="H82" i="3"/>
  <c r="G82" i="3"/>
  <c r="E82" i="3"/>
  <c r="D82" i="3"/>
  <c r="F82" i="3" s="1"/>
  <c r="C82" i="3"/>
  <c r="B82" i="3"/>
  <c r="A82" i="3"/>
  <c r="H81" i="3"/>
  <c r="G81" i="3"/>
  <c r="D81" i="3"/>
  <c r="C81" i="3"/>
  <c r="E81" i="3" s="1"/>
  <c r="B81" i="3"/>
  <c r="A81" i="3"/>
  <c r="J80" i="3"/>
  <c r="H80" i="3"/>
  <c r="G80" i="3"/>
  <c r="D80" i="3"/>
  <c r="C80" i="3"/>
  <c r="E80" i="3" s="1"/>
  <c r="F80" i="3" s="1"/>
  <c r="B80" i="3"/>
  <c r="A80" i="3"/>
  <c r="I79" i="3"/>
  <c r="H79" i="3"/>
  <c r="G79" i="3"/>
  <c r="E79" i="3"/>
  <c r="F79" i="3" s="1"/>
  <c r="D79" i="3"/>
  <c r="C79" i="3"/>
  <c r="B79" i="3"/>
  <c r="A79" i="3"/>
  <c r="H78" i="3"/>
  <c r="G78" i="3"/>
  <c r="E78" i="3"/>
  <c r="D78" i="3"/>
  <c r="F78" i="3" s="1"/>
  <c r="C78" i="3"/>
  <c r="B78" i="3"/>
  <c r="A78" i="3"/>
  <c r="H77" i="3"/>
  <c r="G77" i="3"/>
  <c r="D77" i="3"/>
  <c r="C77" i="3"/>
  <c r="E77" i="3" s="1"/>
  <c r="B77" i="3"/>
  <c r="A77" i="3"/>
  <c r="J76" i="3"/>
  <c r="H76" i="3"/>
  <c r="G76" i="3"/>
  <c r="F76" i="3"/>
  <c r="D76" i="3"/>
  <c r="C76" i="3"/>
  <c r="E76" i="3" s="1"/>
  <c r="B76" i="3"/>
  <c r="A76" i="3"/>
  <c r="I75" i="3"/>
  <c r="H75" i="3"/>
  <c r="G75" i="3"/>
  <c r="E75" i="3"/>
  <c r="F75" i="3" s="1"/>
  <c r="D75" i="3"/>
  <c r="C75" i="3"/>
  <c r="B75" i="3"/>
  <c r="A75" i="3"/>
  <c r="H74" i="3"/>
  <c r="G74" i="3"/>
  <c r="E74" i="3"/>
  <c r="D74" i="3"/>
  <c r="F74" i="3" s="1"/>
  <c r="C74" i="3"/>
  <c r="B74" i="3"/>
  <c r="A74" i="3"/>
  <c r="H73" i="3"/>
  <c r="G73" i="3"/>
  <c r="D73" i="3"/>
  <c r="C73" i="3"/>
  <c r="E73" i="3" s="1"/>
  <c r="B73" i="3"/>
  <c r="A73" i="3"/>
  <c r="J72" i="3"/>
  <c r="H72" i="3"/>
  <c r="G72" i="3"/>
  <c r="D72" i="3"/>
  <c r="C72" i="3"/>
  <c r="E72" i="3" s="1"/>
  <c r="F72" i="3" s="1"/>
  <c r="B72" i="3"/>
  <c r="A72" i="3"/>
  <c r="I71" i="3"/>
  <c r="H71" i="3"/>
  <c r="G71" i="3"/>
  <c r="E71" i="3"/>
  <c r="F71" i="3" s="1"/>
  <c r="D71" i="3"/>
  <c r="C71" i="3"/>
  <c r="B71" i="3"/>
  <c r="A71" i="3"/>
  <c r="H70" i="3"/>
  <c r="G70" i="3"/>
  <c r="E70" i="3"/>
  <c r="D70" i="3"/>
  <c r="F70" i="3" s="1"/>
  <c r="C70" i="3"/>
  <c r="B70" i="3"/>
  <c r="A70" i="3"/>
  <c r="H69" i="3"/>
  <c r="G69" i="3"/>
  <c r="D69" i="3"/>
  <c r="C69" i="3"/>
  <c r="E69" i="3" s="1"/>
  <c r="B69" i="3"/>
  <c r="A69" i="3"/>
  <c r="J68" i="3"/>
  <c r="H68" i="3"/>
  <c r="G68" i="3"/>
  <c r="F68" i="3"/>
  <c r="D68" i="3"/>
  <c r="C68" i="3"/>
  <c r="E68" i="3" s="1"/>
  <c r="B68" i="3"/>
  <c r="A68" i="3"/>
  <c r="I67" i="3"/>
  <c r="H67" i="3"/>
  <c r="G67" i="3"/>
  <c r="E67" i="3"/>
  <c r="F67" i="3" s="1"/>
  <c r="D67" i="3"/>
  <c r="C67" i="3"/>
  <c r="B67" i="3"/>
  <c r="A67" i="3"/>
  <c r="H66" i="3"/>
  <c r="G66" i="3"/>
  <c r="E66" i="3"/>
  <c r="D66" i="3"/>
  <c r="F66" i="3" s="1"/>
  <c r="C66" i="3"/>
  <c r="B66" i="3"/>
  <c r="A66" i="3"/>
  <c r="H65" i="3"/>
  <c r="G65" i="3"/>
  <c r="D65" i="3"/>
  <c r="C65" i="3"/>
  <c r="E65" i="3" s="1"/>
  <c r="B65" i="3"/>
  <c r="A65" i="3"/>
  <c r="J64" i="3"/>
  <c r="H64" i="3"/>
  <c r="G64" i="3"/>
  <c r="D64" i="3"/>
  <c r="C64" i="3"/>
  <c r="E64" i="3" s="1"/>
  <c r="F64" i="3" s="1"/>
  <c r="B64" i="3"/>
  <c r="A64" i="3"/>
  <c r="I63" i="3"/>
  <c r="H63" i="3"/>
  <c r="G63" i="3"/>
  <c r="E63" i="3"/>
  <c r="D63" i="3"/>
  <c r="C63" i="3"/>
  <c r="B63" i="3"/>
  <c r="A63" i="3"/>
  <c r="H62" i="3"/>
  <c r="G62" i="3"/>
  <c r="D62" i="3"/>
  <c r="F62" i="3" s="1"/>
  <c r="C62" i="3"/>
  <c r="E62" i="3" s="1"/>
  <c r="B62" i="3"/>
  <c r="A62" i="3"/>
  <c r="H61" i="3"/>
  <c r="G61" i="3"/>
  <c r="D61" i="3"/>
  <c r="C61" i="3"/>
  <c r="E61" i="3" s="1"/>
  <c r="F61" i="3" s="1"/>
  <c r="B61" i="3"/>
  <c r="A61" i="3"/>
  <c r="J60" i="3"/>
  <c r="H60" i="3"/>
  <c r="G60" i="3"/>
  <c r="F60" i="3"/>
  <c r="E60" i="3"/>
  <c r="D60" i="3"/>
  <c r="C60" i="3"/>
  <c r="B60" i="3"/>
  <c r="A60" i="3"/>
  <c r="I59" i="3"/>
  <c r="H59" i="3"/>
  <c r="G59" i="3"/>
  <c r="E59" i="3"/>
  <c r="D59" i="3"/>
  <c r="C59" i="3"/>
  <c r="B59" i="3"/>
  <c r="A59" i="3"/>
  <c r="H58" i="3"/>
  <c r="G58" i="3"/>
  <c r="D58" i="3"/>
  <c r="F58" i="3" s="1"/>
  <c r="C58" i="3"/>
  <c r="E58" i="3" s="1"/>
  <c r="B58" i="3"/>
  <c r="A58" i="3"/>
  <c r="H57" i="3"/>
  <c r="G57" i="3"/>
  <c r="D57" i="3"/>
  <c r="C57" i="3"/>
  <c r="E57" i="3" s="1"/>
  <c r="F57" i="3" s="1"/>
  <c r="B57" i="3"/>
  <c r="A57" i="3"/>
  <c r="J56" i="3"/>
  <c r="H56" i="3"/>
  <c r="G56" i="3"/>
  <c r="F56" i="3"/>
  <c r="E56" i="3"/>
  <c r="D56" i="3"/>
  <c r="C56" i="3"/>
  <c r="B56" i="3"/>
  <c r="A56" i="3"/>
  <c r="I55" i="3"/>
  <c r="H55" i="3"/>
  <c r="G55" i="3"/>
  <c r="E55" i="3"/>
  <c r="D55" i="3"/>
  <c r="C55" i="3"/>
  <c r="B55" i="3"/>
  <c r="A55" i="3"/>
  <c r="H54" i="3"/>
  <c r="G54" i="3"/>
  <c r="D54" i="3"/>
  <c r="F54" i="3" s="1"/>
  <c r="C54" i="3"/>
  <c r="E54" i="3" s="1"/>
  <c r="B54" i="3"/>
  <c r="A54" i="3"/>
  <c r="H53" i="3"/>
  <c r="G53" i="3"/>
  <c r="D53" i="3"/>
  <c r="C53" i="3"/>
  <c r="E53" i="3" s="1"/>
  <c r="F53" i="3" s="1"/>
  <c r="B53" i="3"/>
  <c r="A53" i="3"/>
  <c r="J52" i="3"/>
  <c r="H52" i="3"/>
  <c r="G52" i="3"/>
  <c r="F52" i="3"/>
  <c r="E52" i="3"/>
  <c r="D52" i="3"/>
  <c r="C52" i="3"/>
  <c r="B52" i="3"/>
  <c r="A52" i="3"/>
  <c r="I51" i="3"/>
  <c r="H51" i="3"/>
  <c r="G51" i="3"/>
  <c r="E51" i="3"/>
  <c r="D51" i="3"/>
  <c r="C51" i="3"/>
  <c r="B51" i="3"/>
  <c r="A51" i="3"/>
  <c r="H50" i="3"/>
  <c r="G50" i="3"/>
  <c r="D50" i="3"/>
  <c r="F50" i="3" s="1"/>
  <c r="C50" i="3"/>
  <c r="E50" i="3" s="1"/>
  <c r="B50" i="3"/>
  <c r="A50" i="3"/>
  <c r="H49" i="3"/>
  <c r="G49" i="3"/>
  <c r="D49" i="3"/>
  <c r="C49" i="3"/>
  <c r="E49" i="3" s="1"/>
  <c r="F49" i="3" s="1"/>
  <c r="B49" i="3"/>
  <c r="A49" i="3"/>
  <c r="J48" i="3"/>
  <c r="H48" i="3"/>
  <c r="G48" i="3"/>
  <c r="F48" i="3"/>
  <c r="E48" i="3"/>
  <c r="D48" i="3"/>
  <c r="C48" i="3"/>
  <c r="B48" i="3"/>
  <c r="A48" i="3"/>
  <c r="I47" i="3"/>
  <c r="H47" i="3"/>
  <c r="G47" i="3"/>
  <c r="E47" i="3"/>
  <c r="D47" i="3"/>
  <c r="C47" i="3"/>
  <c r="B47" i="3"/>
  <c r="A47" i="3"/>
  <c r="H46" i="3"/>
  <c r="G46" i="3"/>
  <c r="D46" i="3"/>
  <c r="F46" i="3" s="1"/>
  <c r="C46" i="3"/>
  <c r="E46" i="3" s="1"/>
  <c r="B46" i="3"/>
  <c r="A46" i="3"/>
  <c r="H45" i="3"/>
  <c r="G45" i="3"/>
  <c r="D45" i="3"/>
  <c r="C45" i="3"/>
  <c r="E45" i="3" s="1"/>
  <c r="F45" i="3" s="1"/>
  <c r="B45" i="3"/>
  <c r="A45" i="3"/>
  <c r="J44" i="3"/>
  <c r="H44" i="3"/>
  <c r="G44" i="3"/>
  <c r="F44" i="3"/>
  <c r="E44" i="3"/>
  <c r="D44" i="3"/>
  <c r="C44" i="3"/>
  <c r="B44" i="3"/>
  <c r="A44" i="3"/>
  <c r="I43" i="3"/>
  <c r="H43" i="3"/>
  <c r="G43" i="3"/>
  <c r="E43" i="3"/>
  <c r="D43" i="3"/>
  <c r="C43" i="3"/>
  <c r="B43" i="3"/>
  <c r="A43" i="3"/>
  <c r="H42" i="3"/>
  <c r="G42" i="3"/>
  <c r="D42" i="3"/>
  <c r="F42" i="3" s="1"/>
  <c r="C42" i="3"/>
  <c r="E42" i="3" s="1"/>
  <c r="B42" i="3"/>
  <c r="A42" i="3"/>
  <c r="H41" i="3"/>
  <c r="G41" i="3"/>
  <c r="D41" i="3"/>
  <c r="C41" i="3"/>
  <c r="E41" i="3" s="1"/>
  <c r="F41" i="3" s="1"/>
  <c r="B41" i="3"/>
  <c r="A41" i="3"/>
  <c r="J40" i="3"/>
  <c r="H40" i="3"/>
  <c r="G40" i="3"/>
  <c r="F40" i="3"/>
  <c r="E40" i="3"/>
  <c r="D40" i="3"/>
  <c r="C40" i="3"/>
  <c r="B40" i="3"/>
  <c r="A40" i="3"/>
  <c r="I39" i="3"/>
  <c r="H39" i="3"/>
  <c r="G39" i="3"/>
  <c r="E39" i="3"/>
  <c r="D39" i="3"/>
  <c r="C39" i="3"/>
  <c r="B39" i="3"/>
  <c r="A39" i="3"/>
  <c r="H38" i="3"/>
  <c r="G38" i="3"/>
  <c r="D38" i="3"/>
  <c r="F38" i="3" s="1"/>
  <c r="C38" i="3"/>
  <c r="E38" i="3" s="1"/>
  <c r="B38" i="3"/>
  <c r="A38" i="3"/>
  <c r="H37" i="3"/>
  <c r="G37" i="3"/>
  <c r="F37" i="3"/>
  <c r="D37" i="3"/>
  <c r="C37" i="3"/>
  <c r="E37" i="3" s="1"/>
  <c r="B37" i="3"/>
  <c r="A37" i="3"/>
  <c r="J36" i="3"/>
  <c r="I36" i="3"/>
  <c r="H36" i="3"/>
  <c r="G36" i="3"/>
  <c r="E36" i="3"/>
  <c r="F36" i="3" s="1"/>
  <c r="D36" i="3"/>
  <c r="C36" i="3"/>
  <c r="B36" i="3"/>
  <c r="A36" i="3"/>
  <c r="I35" i="3"/>
  <c r="H35" i="3"/>
  <c r="G35" i="3"/>
  <c r="E35" i="3"/>
  <c r="D35" i="3"/>
  <c r="C35" i="3"/>
  <c r="B35" i="3"/>
  <c r="A35" i="3"/>
  <c r="H34" i="3"/>
  <c r="G34" i="3"/>
  <c r="D34" i="3"/>
  <c r="F34" i="3" s="1"/>
  <c r="C34" i="3"/>
  <c r="E34" i="3" s="1"/>
  <c r="B34" i="3"/>
  <c r="A34" i="3"/>
  <c r="J33" i="3"/>
  <c r="H33" i="3"/>
  <c r="G33" i="3"/>
  <c r="D33" i="3"/>
  <c r="C33" i="3"/>
  <c r="E33" i="3" s="1"/>
  <c r="F33" i="3" s="1"/>
  <c r="B33" i="3"/>
  <c r="A33" i="3"/>
  <c r="J32" i="3"/>
  <c r="I32" i="3"/>
  <c r="H32" i="3"/>
  <c r="G32" i="3"/>
  <c r="E32" i="3"/>
  <c r="F32" i="3" s="1"/>
  <c r="D32" i="3"/>
  <c r="C32" i="3"/>
  <c r="B32" i="3"/>
  <c r="A32" i="3"/>
  <c r="I31" i="3"/>
  <c r="H31" i="3"/>
  <c r="G31" i="3"/>
  <c r="E31" i="3"/>
  <c r="D31" i="3"/>
  <c r="C31" i="3"/>
  <c r="B31" i="3"/>
  <c r="A31" i="3"/>
  <c r="H30" i="3"/>
  <c r="G30" i="3"/>
  <c r="D30" i="3"/>
  <c r="F30" i="3" s="1"/>
  <c r="C30" i="3"/>
  <c r="E30" i="3" s="1"/>
  <c r="B30" i="3"/>
  <c r="A30" i="3"/>
  <c r="J29" i="3"/>
  <c r="H29" i="3"/>
  <c r="G29" i="3"/>
  <c r="F29" i="3"/>
  <c r="L29" i="3" s="1"/>
  <c r="N29" i="3" s="1"/>
  <c r="D29" i="3"/>
  <c r="C29" i="3"/>
  <c r="E29" i="3" s="1"/>
  <c r="B29" i="3"/>
  <c r="A29" i="3"/>
  <c r="J28" i="3"/>
  <c r="I28" i="3"/>
  <c r="H28" i="3"/>
  <c r="G28" i="3"/>
  <c r="E28" i="3"/>
  <c r="F28" i="3" s="1"/>
  <c r="D28" i="3"/>
  <c r="C28" i="3"/>
  <c r="B28" i="3"/>
  <c r="A28" i="3"/>
  <c r="I27" i="3"/>
  <c r="H27" i="3"/>
  <c r="G27" i="3"/>
  <c r="E27" i="3"/>
  <c r="D27" i="3"/>
  <c r="C27" i="3"/>
  <c r="B27" i="3"/>
  <c r="A27" i="3"/>
  <c r="H26" i="3"/>
  <c r="G26" i="3"/>
  <c r="D26" i="3"/>
  <c r="F26" i="3" s="1"/>
  <c r="C26" i="3"/>
  <c r="E26" i="3" s="1"/>
  <c r="B26" i="3"/>
  <c r="A26" i="3"/>
  <c r="J25" i="3"/>
  <c r="H25" i="3"/>
  <c r="G25" i="3"/>
  <c r="D25" i="3"/>
  <c r="C25" i="3"/>
  <c r="E25" i="3" s="1"/>
  <c r="F25" i="3" s="1"/>
  <c r="B25" i="3"/>
  <c r="A25" i="3"/>
  <c r="J24" i="3"/>
  <c r="I24" i="3"/>
  <c r="H24" i="3"/>
  <c r="G24" i="3"/>
  <c r="E24" i="3"/>
  <c r="F24" i="3" s="1"/>
  <c r="D24" i="3"/>
  <c r="C24" i="3"/>
  <c r="B24" i="3"/>
  <c r="A24" i="3"/>
  <c r="I23" i="3"/>
  <c r="H23" i="3"/>
  <c r="G23" i="3"/>
  <c r="E23" i="3"/>
  <c r="D23" i="3"/>
  <c r="C23" i="3"/>
  <c r="B23" i="3"/>
  <c r="A23" i="3"/>
  <c r="H22" i="3"/>
  <c r="G22" i="3"/>
  <c r="D22" i="3"/>
  <c r="F22" i="3" s="1"/>
  <c r="C22" i="3"/>
  <c r="E22" i="3" s="1"/>
  <c r="B22" i="3"/>
  <c r="A22" i="3"/>
  <c r="J21" i="3"/>
  <c r="H21" i="3"/>
  <c r="G21" i="3"/>
  <c r="F21" i="3"/>
  <c r="L21" i="3" s="1"/>
  <c r="N21" i="3" s="1"/>
  <c r="D21" i="3"/>
  <c r="C21" i="3"/>
  <c r="E21" i="3" s="1"/>
  <c r="B21" i="3"/>
  <c r="A21" i="3"/>
  <c r="J20" i="3"/>
  <c r="I20" i="3"/>
  <c r="H20" i="3"/>
  <c r="G20" i="3"/>
  <c r="E20" i="3"/>
  <c r="F20" i="3" s="1"/>
  <c r="D20" i="3"/>
  <c r="C20" i="3"/>
  <c r="B20" i="3"/>
  <c r="A20" i="3"/>
  <c r="I19" i="3"/>
  <c r="H19" i="3"/>
  <c r="G19" i="3"/>
  <c r="E19" i="3"/>
  <c r="D19" i="3"/>
  <c r="C19" i="3"/>
  <c r="B19" i="3"/>
  <c r="A19" i="3"/>
  <c r="H18" i="3"/>
  <c r="G18" i="3"/>
  <c r="D18" i="3"/>
  <c r="F18" i="3" s="1"/>
  <c r="C18" i="3"/>
  <c r="E18" i="3" s="1"/>
  <c r="B18" i="3"/>
  <c r="A18" i="3"/>
  <c r="J17" i="3"/>
  <c r="H17" i="3"/>
  <c r="G17" i="3"/>
  <c r="D17" i="3"/>
  <c r="C17" i="3"/>
  <c r="E17" i="3" s="1"/>
  <c r="F17" i="3" s="1"/>
  <c r="B17" i="3"/>
  <c r="A17" i="3"/>
  <c r="J16" i="3"/>
  <c r="I16" i="3"/>
  <c r="H16" i="3"/>
  <c r="G16" i="3"/>
  <c r="E16" i="3"/>
  <c r="F16" i="3" s="1"/>
  <c r="D16" i="3"/>
  <c r="C16" i="3"/>
  <c r="B16" i="3"/>
  <c r="A16" i="3"/>
  <c r="I15" i="3"/>
  <c r="H15" i="3"/>
  <c r="G15" i="3"/>
  <c r="E15" i="3"/>
  <c r="D15" i="3"/>
  <c r="C15" i="3"/>
  <c r="B15" i="3"/>
  <c r="A15" i="3"/>
  <c r="H14" i="3"/>
  <c r="G14" i="3"/>
  <c r="D14" i="3"/>
  <c r="F14" i="3" s="1"/>
  <c r="C14" i="3"/>
  <c r="E14" i="3" s="1"/>
  <c r="B14" i="3"/>
  <c r="A14" i="3"/>
  <c r="J13" i="3"/>
  <c r="H13" i="3"/>
  <c r="G13" i="3"/>
  <c r="F13" i="3"/>
  <c r="L13" i="3" s="1"/>
  <c r="N13" i="3" s="1"/>
  <c r="D13" i="3"/>
  <c r="C13" i="3"/>
  <c r="E13" i="3" s="1"/>
  <c r="B13" i="3"/>
  <c r="A13" i="3"/>
  <c r="B9" i="3"/>
  <c r="J368" i="3" s="1"/>
  <c r="L14" i="3" l="1"/>
  <c r="N14" i="3" s="1"/>
  <c r="L24" i="3"/>
  <c r="N24" i="3" s="1"/>
  <c r="K24" i="3"/>
  <c r="M24" i="3" s="1"/>
  <c r="O24" i="3" s="1"/>
  <c r="L33" i="3"/>
  <c r="N33" i="3" s="1"/>
  <c r="K33" i="3"/>
  <c r="M33" i="3" s="1"/>
  <c r="O33" i="3" s="1"/>
  <c r="L88" i="3"/>
  <c r="N88" i="3" s="1"/>
  <c r="L120" i="3"/>
  <c r="N120" i="3" s="1"/>
  <c r="L25" i="3"/>
  <c r="N25" i="3" s="1"/>
  <c r="L22" i="3"/>
  <c r="N22" i="3" s="1"/>
  <c r="L64" i="3"/>
  <c r="N64" i="3" s="1"/>
  <c r="L96" i="3"/>
  <c r="N96" i="3" s="1"/>
  <c r="L128" i="3"/>
  <c r="N128" i="3" s="1"/>
  <c r="L16" i="3"/>
  <c r="N16" i="3" s="1"/>
  <c r="K16" i="3"/>
  <c r="M16" i="3" s="1"/>
  <c r="O16" i="3" s="1"/>
  <c r="L36" i="3"/>
  <c r="N36" i="3" s="1"/>
  <c r="K36" i="3"/>
  <c r="M36" i="3" s="1"/>
  <c r="O36" i="3" s="1"/>
  <c r="L80" i="3"/>
  <c r="N80" i="3" s="1"/>
  <c r="L112" i="3"/>
  <c r="N112" i="3" s="1"/>
  <c r="L20" i="3"/>
  <c r="N20" i="3" s="1"/>
  <c r="K20" i="3"/>
  <c r="M20" i="3" s="1"/>
  <c r="L32" i="3"/>
  <c r="N32" i="3" s="1"/>
  <c r="K32" i="3"/>
  <c r="M32" i="3" s="1"/>
  <c r="O32" i="3" s="1"/>
  <c r="L50" i="3"/>
  <c r="N50" i="3" s="1"/>
  <c r="L17" i="3"/>
  <c r="N17" i="3" s="1"/>
  <c r="L28" i="3"/>
  <c r="N28" i="3" s="1"/>
  <c r="K28" i="3"/>
  <c r="M28" i="3" s="1"/>
  <c r="L72" i="3"/>
  <c r="N72" i="3" s="1"/>
  <c r="L104" i="3"/>
  <c r="N104" i="3" s="1"/>
  <c r="L134" i="3"/>
  <c r="N134" i="3" s="1"/>
  <c r="K134" i="3"/>
  <c r="M134" i="3" s="1"/>
  <c r="O134" i="3" s="1"/>
  <c r="L150" i="3"/>
  <c r="N150" i="3" s="1"/>
  <c r="L166" i="3"/>
  <c r="N166" i="3" s="1"/>
  <c r="K166" i="3"/>
  <c r="M166" i="3" s="1"/>
  <c r="O166" i="3" s="1"/>
  <c r="L34" i="3"/>
  <c r="N34" i="3" s="1"/>
  <c r="L44" i="3"/>
  <c r="N44" i="3" s="1"/>
  <c r="K62" i="3"/>
  <c r="M62" i="3" s="1"/>
  <c r="K174" i="3"/>
  <c r="M174" i="3" s="1"/>
  <c r="L242" i="3"/>
  <c r="N242" i="3" s="1"/>
  <c r="L261" i="3"/>
  <c r="N261" i="3" s="1"/>
  <c r="L293" i="3"/>
  <c r="N293" i="3" s="1"/>
  <c r="F19" i="3"/>
  <c r="K22" i="3"/>
  <c r="M22" i="3" s="1"/>
  <c r="O22" i="3" s="1"/>
  <c r="F27" i="3"/>
  <c r="F35" i="3"/>
  <c r="L41" i="3"/>
  <c r="N41" i="3" s="1"/>
  <c r="F43" i="3"/>
  <c r="K49" i="3"/>
  <c r="M49" i="3" s="1"/>
  <c r="F51" i="3"/>
  <c r="F59" i="3"/>
  <c r="F65" i="3"/>
  <c r="F73" i="3"/>
  <c r="F81" i="3"/>
  <c r="F89" i="3"/>
  <c r="L90" i="3"/>
  <c r="N90" i="3" s="1"/>
  <c r="F97" i="3"/>
  <c r="F105" i="3"/>
  <c r="F113" i="3"/>
  <c r="K114" i="3"/>
  <c r="M114" i="3" s="1"/>
  <c r="F121" i="3"/>
  <c r="L122" i="3"/>
  <c r="N122" i="3" s="1"/>
  <c r="F129" i="3"/>
  <c r="K165" i="3"/>
  <c r="M165" i="3" s="1"/>
  <c r="L214" i="3"/>
  <c r="N214" i="3" s="1"/>
  <c r="L227" i="3"/>
  <c r="N227" i="3" s="1"/>
  <c r="L246" i="3"/>
  <c r="N246" i="3" s="1"/>
  <c r="L260" i="3"/>
  <c r="N260" i="3" s="1"/>
  <c r="L292" i="3"/>
  <c r="N292" i="3" s="1"/>
  <c r="K298" i="3"/>
  <c r="M298" i="3" s="1"/>
  <c r="K54" i="3"/>
  <c r="M54" i="3" s="1"/>
  <c r="K71" i="3"/>
  <c r="M71" i="3" s="1"/>
  <c r="K190" i="3"/>
  <c r="M190" i="3" s="1"/>
  <c r="L40" i="3"/>
  <c r="N40" i="3" s="1"/>
  <c r="L48" i="3"/>
  <c r="N48" i="3" s="1"/>
  <c r="L56" i="3"/>
  <c r="N56" i="3" s="1"/>
  <c r="K67" i="3"/>
  <c r="M67" i="3" s="1"/>
  <c r="L75" i="3"/>
  <c r="N75" i="3" s="1"/>
  <c r="K75" i="3"/>
  <c r="M75" i="3" s="1"/>
  <c r="K83" i="3"/>
  <c r="M83" i="3" s="1"/>
  <c r="L91" i="3"/>
  <c r="N91" i="3" s="1"/>
  <c r="K91" i="3"/>
  <c r="M91" i="3" s="1"/>
  <c r="K99" i="3"/>
  <c r="M99" i="3" s="1"/>
  <c r="L107" i="3"/>
  <c r="N107" i="3" s="1"/>
  <c r="K107" i="3"/>
  <c r="M107" i="3" s="1"/>
  <c r="K115" i="3"/>
  <c r="M115" i="3" s="1"/>
  <c r="K123" i="3"/>
  <c r="M123" i="3" s="1"/>
  <c r="K131" i="3"/>
  <c r="M131" i="3" s="1"/>
  <c r="L135" i="3"/>
  <c r="N135" i="3" s="1"/>
  <c r="K136" i="3"/>
  <c r="M136" i="3" s="1"/>
  <c r="L151" i="3"/>
  <c r="N151" i="3" s="1"/>
  <c r="K152" i="3"/>
  <c r="M152" i="3" s="1"/>
  <c r="L154" i="3"/>
  <c r="N154" i="3" s="1"/>
  <c r="L167" i="3"/>
  <c r="N167" i="3" s="1"/>
  <c r="K168" i="3"/>
  <c r="M168" i="3" s="1"/>
  <c r="L203" i="3"/>
  <c r="N203" i="3" s="1"/>
  <c r="L222" i="3"/>
  <c r="N222" i="3" s="1"/>
  <c r="L235" i="3"/>
  <c r="N235" i="3" s="1"/>
  <c r="L254" i="3"/>
  <c r="N254" i="3" s="1"/>
  <c r="L284" i="3"/>
  <c r="N284" i="3" s="1"/>
  <c r="L52" i="3"/>
  <c r="N52" i="3" s="1"/>
  <c r="L60" i="3"/>
  <c r="N60" i="3" s="1"/>
  <c r="K79" i="3"/>
  <c r="M79" i="3" s="1"/>
  <c r="L87" i="3"/>
  <c r="N87" i="3" s="1"/>
  <c r="K87" i="3"/>
  <c r="M87" i="3" s="1"/>
  <c r="K95" i="3"/>
  <c r="M95" i="3" s="1"/>
  <c r="K103" i="3"/>
  <c r="M103" i="3" s="1"/>
  <c r="K111" i="3"/>
  <c r="M111" i="3" s="1"/>
  <c r="L119" i="3"/>
  <c r="N119" i="3" s="1"/>
  <c r="K119" i="3"/>
  <c r="M119" i="3" s="1"/>
  <c r="K127" i="3"/>
  <c r="M127" i="3" s="1"/>
  <c r="K175" i="3"/>
  <c r="M175" i="3" s="1"/>
  <c r="K238" i="3"/>
  <c r="M238" i="3" s="1"/>
  <c r="F15" i="3"/>
  <c r="F23" i="3"/>
  <c r="F31" i="3"/>
  <c r="F39" i="3"/>
  <c r="L45" i="3"/>
  <c r="N45" i="3" s="1"/>
  <c r="F47" i="3"/>
  <c r="L53" i="3"/>
  <c r="N53" i="3" s="1"/>
  <c r="F55" i="3"/>
  <c r="L61" i="3"/>
  <c r="N61" i="3" s="1"/>
  <c r="F63" i="3"/>
  <c r="L68" i="3"/>
  <c r="N68" i="3" s="1"/>
  <c r="F69" i="3"/>
  <c r="L70" i="3"/>
  <c r="N70" i="3" s="1"/>
  <c r="L76" i="3"/>
  <c r="N76" i="3" s="1"/>
  <c r="F77" i="3"/>
  <c r="K78" i="3"/>
  <c r="M78" i="3" s="1"/>
  <c r="L84" i="3"/>
  <c r="N84" i="3" s="1"/>
  <c r="F85" i="3"/>
  <c r="L92" i="3"/>
  <c r="N92" i="3" s="1"/>
  <c r="K92" i="3"/>
  <c r="M92" i="3" s="1"/>
  <c r="O92" i="3" s="1"/>
  <c r="F93" i="3"/>
  <c r="L100" i="3"/>
  <c r="N100" i="3" s="1"/>
  <c r="F101" i="3"/>
  <c r="L102" i="3"/>
  <c r="N102" i="3" s="1"/>
  <c r="L108" i="3"/>
  <c r="N108" i="3" s="1"/>
  <c r="F109" i="3"/>
  <c r="K110" i="3"/>
  <c r="M110" i="3" s="1"/>
  <c r="L116" i="3"/>
  <c r="N116" i="3" s="1"/>
  <c r="F117" i="3"/>
  <c r="L124" i="3"/>
  <c r="N124" i="3" s="1"/>
  <c r="K124" i="3"/>
  <c r="M124" i="3" s="1"/>
  <c r="O124" i="3" s="1"/>
  <c r="F125" i="3"/>
  <c r="K137" i="3"/>
  <c r="M137" i="3" s="1"/>
  <c r="K141" i="3"/>
  <c r="M141" i="3" s="1"/>
  <c r="L145" i="3"/>
  <c r="N145" i="3" s="1"/>
  <c r="K146" i="3"/>
  <c r="M146" i="3" s="1"/>
  <c r="F147" i="3"/>
  <c r="K157" i="3"/>
  <c r="M157" i="3" s="1"/>
  <c r="L161" i="3"/>
  <c r="N161" i="3" s="1"/>
  <c r="K162" i="3"/>
  <c r="M162" i="3" s="1"/>
  <c r="F163" i="3"/>
  <c r="L169" i="3"/>
  <c r="N169" i="3" s="1"/>
  <c r="K169" i="3"/>
  <c r="M169" i="3" s="1"/>
  <c r="L177" i="3"/>
  <c r="N177" i="3" s="1"/>
  <c r="K177" i="3"/>
  <c r="M177" i="3" s="1"/>
  <c r="L185" i="3"/>
  <c r="N185" i="3" s="1"/>
  <c r="K185" i="3"/>
  <c r="M185" i="3" s="1"/>
  <c r="L193" i="3"/>
  <c r="N193" i="3" s="1"/>
  <c r="K193" i="3"/>
  <c r="M193" i="3" s="1"/>
  <c r="L201" i="3"/>
  <c r="N201" i="3" s="1"/>
  <c r="K201" i="3"/>
  <c r="M201" i="3" s="1"/>
  <c r="L211" i="3"/>
  <c r="N211" i="3" s="1"/>
  <c r="L230" i="3"/>
  <c r="N230" i="3" s="1"/>
  <c r="L243" i="3"/>
  <c r="N243" i="3" s="1"/>
  <c r="L316" i="3"/>
  <c r="N316" i="3" s="1"/>
  <c r="K335" i="3"/>
  <c r="M335" i="3" s="1"/>
  <c r="J482" i="3"/>
  <c r="J488" i="3"/>
  <c r="I18" i="3"/>
  <c r="K18" i="3" s="1"/>
  <c r="M18" i="3" s="1"/>
  <c r="J19" i="3"/>
  <c r="I22" i="3"/>
  <c r="J23" i="3"/>
  <c r="J31" i="3"/>
  <c r="I34" i="3"/>
  <c r="K34" i="3" s="1"/>
  <c r="M34" i="3" s="1"/>
  <c r="O34" i="3" s="1"/>
  <c r="I38" i="3"/>
  <c r="K38" i="3" s="1"/>
  <c r="M38" i="3" s="1"/>
  <c r="J47" i="3"/>
  <c r="I50" i="3"/>
  <c r="K50" i="3" s="1"/>
  <c r="M50" i="3" s="1"/>
  <c r="O50" i="3" s="1"/>
  <c r="J51" i="3"/>
  <c r="I54" i="3"/>
  <c r="I58" i="3"/>
  <c r="K58" i="3" s="1"/>
  <c r="M58" i="3" s="1"/>
  <c r="J59" i="3"/>
  <c r="I62" i="3"/>
  <c r="J67" i="3"/>
  <c r="L67" i="3" s="1"/>
  <c r="N67" i="3" s="1"/>
  <c r="J71" i="3"/>
  <c r="L71" i="3" s="1"/>
  <c r="N71" i="3" s="1"/>
  <c r="I74" i="3"/>
  <c r="K74" i="3" s="1"/>
  <c r="M74" i="3" s="1"/>
  <c r="J75" i="3"/>
  <c r="I102" i="3"/>
  <c r="K102" i="3" s="1"/>
  <c r="M102" i="3" s="1"/>
  <c r="O102" i="3" s="1"/>
  <c r="J103" i="3"/>
  <c r="L103" i="3" s="1"/>
  <c r="N103" i="3" s="1"/>
  <c r="I110" i="3"/>
  <c r="J111" i="3"/>
  <c r="L111" i="3" s="1"/>
  <c r="N111" i="3" s="1"/>
  <c r="I114" i="3"/>
  <c r="J115" i="3"/>
  <c r="L115" i="3" s="1"/>
  <c r="N115" i="3" s="1"/>
  <c r="I118" i="3"/>
  <c r="K118" i="3" s="1"/>
  <c r="M118" i="3" s="1"/>
  <c r="J119" i="3"/>
  <c r="I122" i="3"/>
  <c r="K122" i="3" s="1"/>
  <c r="M122" i="3" s="1"/>
  <c r="O122" i="3" s="1"/>
  <c r="J123" i="3"/>
  <c r="L123" i="3" s="1"/>
  <c r="N123" i="3" s="1"/>
  <c r="I126" i="3"/>
  <c r="K126" i="3" s="1"/>
  <c r="M126" i="3" s="1"/>
  <c r="J127" i="3"/>
  <c r="L127" i="3" s="1"/>
  <c r="N127" i="3" s="1"/>
  <c r="I130" i="3"/>
  <c r="K130" i="3" s="1"/>
  <c r="M130" i="3" s="1"/>
  <c r="O130" i="3" s="1"/>
  <c r="J131" i="3"/>
  <c r="L131" i="3" s="1"/>
  <c r="N131" i="3" s="1"/>
  <c r="F132" i="3"/>
  <c r="I132" i="3"/>
  <c r="I137" i="3"/>
  <c r="J141" i="3"/>
  <c r="L141" i="3" s="1"/>
  <c r="N141" i="3" s="1"/>
  <c r="I142" i="3"/>
  <c r="K142" i="3" s="1"/>
  <c r="M142" i="3" s="1"/>
  <c r="J146" i="3"/>
  <c r="L146" i="3" s="1"/>
  <c r="N146" i="3" s="1"/>
  <c r="J147" i="3"/>
  <c r="F148" i="3"/>
  <c r="I148" i="3"/>
  <c r="I153" i="3"/>
  <c r="K153" i="3" s="1"/>
  <c r="M153" i="3" s="1"/>
  <c r="J157" i="3"/>
  <c r="L157" i="3" s="1"/>
  <c r="N157" i="3" s="1"/>
  <c r="I158" i="3"/>
  <c r="K158" i="3" s="1"/>
  <c r="M158" i="3" s="1"/>
  <c r="J162" i="3"/>
  <c r="L162" i="3" s="1"/>
  <c r="N162" i="3" s="1"/>
  <c r="J163" i="3"/>
  <c r="F164" i="3"/>
  <c r="I164" i="3"/>
  <c r="J169" i="3"/>
  <c r="J174" i="3"/>
  <c r="L174" i="3" s="1"/>
  <c r="N174" i="3" s="1"/>
  <c r="I176" i="3"/>
  <c r="K176" i="3" s="1"/>
  <c r="M176" i="3" s="1"/>
  <c r="O176" i="3" s="1"/>
  <c r="J177" i="3"/>
  <c r="J182" i="3"/>
  <c r="L182" i="3" s="1"/>
  <c r="N182" i="3" s="1"/>
  <c r="I184" i="3"/>
  <c r="K184" i="3" s="1"/>
  <c r="M184" i="3" s="1"/>
  <c r="O184" i="3" s="1"/>
  <c r="J185" i="3"/>
  <c r="J190" i="3"/>
  <c r="L190" i="3" s="1"/>
  <c r="N190" i="3" s="1"/>
  <c r="I192" i="3"/>
  <c r="K192" i="3" s="1"/>
  <c r="M192" i="3" s="1"/>
  <c r="O192" i="3" s="1"/>
  <c r="J193" i="3"/>
  <c r="J198" i="3"/>
  <c r="L198" i="3" s="1"/>
  <c r="N198" i="3" s="1"/>
  <c r="I200" i="3"/>
  <c r="K200" i="3" s="1"/>
  <c r="M200" i="3" s="1"/>
  <c r="O200" i="3" s="1"/>
  <c r="J201" i="3"/>
  <c r="K205" i="3"/>
  <c r="M205" i="3" s="1"/>
  <c r="J206" i="3"/>
  <c r="L206" i="3" s="1"/>
  <c r="N206" i="3" s="1"/>
  <c r="K213" i="3"/>
  <c r="M213" i="3" s="1"/>
  <c r="J214" i="3"/>
  <c r="L221" i="3"/>
  <c r="N221" i="3" s="1"/>
  <c r="K221" i="3"/>
  <c r="M221" i="3" s="1"/>
  <c r="J222" i="3"/>
  <c r="K229" i="3"/>
  <c r="M229" i="3" s="1"/>
  <c r="J230" i="3"/>
  <c r="K237" i="3"/>
  <c r="M237" i="3" s="1"/>
  <c r="J238" i="3"/>
  <c r="L238" i="3" s="1"/>
  <c r="N238" i="3" s="1"/>
  <c r="K245" i="3"/>
  <c r="M245" i="3" s="1"/>
  <c r="J246" i="3"/>
  <c r="L253" i="3"/>
  <c r="N253" i="3" s="1"/>
  <c r="K253" i="3"/>
  <c r="M253" i="3" s="1"/>
  <c r="J254" i="3"/>
  <c r="K266" i="3"/>
  <c r="M266" i="3" s="1"/>
  <c r="O266" i="3" s="1"/>
  <c r="L368" i="3"/>
  <c r="N368" i="3" s="1"/>
  <c r="J511" i="3"/>
  <c r="I510" i="3"/>
  <c r="J507" i="3"/>
  <c r="L507" i="3" s="1"/>
  <c r="N507" i="3" s="1"/>
  <c r="I506" i="3"/>
  <c r="J503" i="3"/>
  <c r="I502" i="3"/>
  <c r="J499" i="3"/>
  <c r="L499" i="3" s="1"/>
  <c r="N499" i="3" s="1"/>
  <c r="I498" i="3"/>
  <c r="J495" i="3"/>
  <c r="I494" i="3"/>
  <c r="J491" i="3"/>
  <c r="L491" i="3" s="1"/>
  <c r="N491" i="3" s="1"/>
  <c r="I490" i="3"/>
  <c r="J487" i="3"/>
  <c r="I486" i="3"/>
  <c r="J483" i="3"/>
  <c r="L483" i="3" s="1"/>
  <c r="N483" i="3" s="1"/>
  <c r="I482" i="3"/>
  <c r="J479" i="3"/>
  <c r="L479" i="3" s="1"/>
  <c r="N479" i="3" s="1"/>
  <c r="I478" i="3"/>
  <c r="J512" i="3"/>
  <c r="I512" i="3"/>
  <c r="J509" i="3"/>
  <c r="I508" i="3"/>
  <c r="J505" i="3"/>
  <c r="I504" i="3"/>
  <c r="J501" i="3"/>
  <c r="I500" i="3"/>
  <c r="J497" i="3"/>
  <c r="I496" i="3"/>
  <c r="J493" i="3"/>
  <c r="I492" i="3"/>
  <c r="J489" i="3"/>
  <c r="I488" i="3"/>
  <c r="J485" i="3"/>
  <c r="I484" i="3"/>
  <c r="J481" i="3"/>
  <c r="I480" i="3"/>
  <c r="J477" i="3"/>
  <c r="I476" i="3"/>
  <c r="I511" i="3"/>
  <c r="K511" i="3" s="1"/>
  <c r="M511" i="3" s="1"/>
  <c r="O511" i="3" s="1"/>
  <c r="J508" i="3"/>
  <c r="L508" i="3" s="1"/>
  <c r="N508" i="3" s="1"/>
  <c r="J502" i="3"/>
  <c r="I501" i="3"/>
  <c r="I495" i="3"/>
  <c r="J492" i="3"/>
  <c r="J486" i="3"/>
  <c r="I485" i="3"/>
  <c r="I479" i="3"/>
  <c r="K479" i="3" s="1"/>
  <c r="M479" i="3" s="1"/>
  <c r="O479" i="3" s="1"/>
  <c r="J474" i="3"/>
  <c r="I473" i="3"/>
  <c r="K473" i="3" s="1"/>
  <c r="M473" i="3" s="1"/>
  <c r="J470" i="3"/>
  <c r="I469" i="3"/>
  <c r="K469" i="3" s="1"/>
  <c r="M469" i="3" s="1"/>
  <c r="O469" i="3" s="1"/>
  <c r="J466" i="3"/>
  <c r="L466" i="3" s="1"/>
  <c r="N466" i="3" s="1"/>
  <c r="I465" i="3"/>
  <c r="J462" i="3"/>
  <c r="I461" i="3"/>
  <c r="K461" i="3" s="1"/>
  <c r="M461" i="3" s="1"/>
  <c r="O461" i="3" s="1"/>
  <c r="J506" i="3"/>
  <c r="I505" i="3"/>
  <c r="I499" i="3"/>
  <c r="J496" i="3"/>
  <c r="L496" i="3" s="1"/>
  <c r="N496" i="3" s="1"/>
  <c r="J490" i="3"/>
  <c r="I489" i="3"/>
  <c r="I483" i="3"/>
  <c r="J480" i="3"/>
  <c r="L480" i="3" s="1"/>
  <c r="N480" i="3" s="1"/>
  <c r="I477" i="3"/>
  <c r="J475" i="3"/>
  <c r="I474" i="3"/>
  <c r="J471" i="3"/>
  <c r="I470" i="3"/>
  <c r="J467" i="3"/>
  <c r="I466" i="3"/>
  <c r="J463" i="3"/>
  <c r="I462" i="3"/>
  <c r="J459" i="3"/>
  <c r="J510" i="3"/>
  <c r="I509" i="3"/>
  <c r="I503" i="3"/>
  <c r="J500" i="3"/>
  <c r="J494" i="3"/>
  <c r="I493" i="3"/>
  <c r="I487" i="3"/>
  <c r="J484" i="3"/>
  <c r="J478" i="3"/>
  <c r="I475" i="3"/>
  <c r="J472" i="3"/>
  <c r="I491" i="3"/>
  <c r="I481" i="3"/>
  <c r="J476" i="3"/>
  <c r="I471" i="3"/>
  <c r="J469" i="3"/>
  <c r="J464" i="3"/>
  <c r="I463" i="3"/>
  <c r="J461" i="3"/>
  <c r="I458" i="3"/>
  <c r="J455" i="3"/>
  <c r="I454" i="3"/>
  <c r="K454" i="3" s="1"/>
  <c r="M454" i="3" s="1"/>
  <c r="O454" i="3" s="1"/>
  <c r="J451" i="3"/>
  <c r="I450" i="3"/>
  <c r="J447" i="3"/>
  <c r="I446" i="3"/>
  <c r="K446" i="3" s="1"/>
  <c r="M446" i="3" s="1"/>
  <c r="O446" i="3" s="1"/>
  <c r="J443" i="3"/>
  <c r="L443" i="3" s="1"/>
  <c r="N443" i="3" s="1"/>
  <c r="I442" i="3"/>
  <c r="J439" i="3"/>
  <c r="I438" i="3"/>
  <c r="K438" i="3" s="1"/>
  <c r="M438" i="3" s="1"/>
  <c r="O438" i="3" s="1"/>
  <c r="J473" i="3"/>
  <c r="L473" i="3" s="1"/>
  <c r="N473" i="3" s="1"/>
  <c r="I464" i="3"/>
  <c r="J456" i="3"/>
  <c r="I455" i="3"/>
  <c r="J452" i="3"/>
  <c r="I451" i="3"/>
  <c r="J448" i="3"/>
  <c r="I447" i="3"/>
  <c r="J444" i="3"/>
  <c r="I443" i="3"/>
  <c r="J440" i="3"/>
  <c r="I439" i="3"/>
  <c r="K439" i="3" s="1"/>
  <c r="M439" i="3" s="1"/>
  <c r="O439" i="3" s="1"/>
  <c r="J436" i="3"/>
  <c r="I435" i="3"/>
  <c r="J432" i="3"/>
  <c r="I431" i="3"/>
  <c r="J428" i="3"/>
  <c r="I427" i="3"/>
  <c r="J424" i="3"/>
  <c r="I423" i="3"/>
  <c r="K423" i="3" s="1"/>
  <c r="M423" i="3" s="1"/>
  <c r="O423" i="3" s="1"/>
  <c r="J420" i="3"/>
  <c r="I419" i="3"/>
  <c r="J504" i="3"/>
  <c r="J498" i="3"/>
  <c r="L498" i="3" s="1"/>
  <c r="N498" i="3" s="1"/>
  <c r="I497" i="3"/>
  <c r="I468" i="3"/>
  <c r="J460" i="3"/>
  <c r="I457" i="3"/>
  <c r="I449" i="3"/>
  <c r="I441" i="3"/>
  <c r="I434" i="3"/>
  <c r="J433" i="3"/>
  <c r="I429" i="3"/>
  <c r="I424" i="3"/>
  <c r="J423" i="3"/>
  <c r="L423" i="3" s="1"/>
  <c r="N423" i="3" s="1"/>
  <c r="J422" i="3"/>
  <c r="L422" i="3" s="1"/>
  <c r="N422" i="3" s="1"/>
  <c r="I418" i="3"/>
  <c r="J416" i="3"/>
  <c r="L416" i="3" s="1"/>
  <c r="N416" i="3" s="1"/>
  <c r="I415" i="3"/>
  <c r="J412" i="3"/>
  <c r="I411" i="3"/>
  <c r="K411" i="3" s="1"/>
  <c r="M411" i="3" s="1"/>
  <c r="J408" i="3"/>
  <c r="L408" i="3" s="1"/>
  <c r="N408" i="3" s="1"/>
  <c r="I407" i="3"/>
  <c r="J404" i="3"/>
  <c r="I403" i="3"/>
  <c r="K403" i="3" s="1"/>
  <c r="M403" i="3" s="1"/>
  <c r="J400" i="3"/>
  <c r="L400" i="3" s="1"/>
  <c r="N400" i="3" s="1"/>
  <c r="I399" i="3"/>
  <c r="J396" i="3"/>
  <c r="I395" i="3"/>
  <c r="K395" i="3" s="1"/>
  <c r="M395" i="3" s="1"/>
  <c r="J392" i="3"/>
  <c r="L392" i="3" s="1"/>
  <c r="N392" i="3" s="1"/>
  <c r="I391" i="3"/>
  <c r="J388" i="3"/>
  <c r="I387" i="3"/>
  <c r="K387" i="3" s="1"/>
  <c r="M387" i="3" s="1"/>
  <c r="J384" i="3"/>
  <c r="L384" i="3" s="1"/>
  <c r="N384" i="3" s="1"/>
  <c r="I383" i="3"/>
  <c r="J380" i="3"/>
  <c r="I379" i="3"/>
  <c r="K379" i="3" s="1"/>
  <c r="M379" i="3" s="1"/>
  <c r="J376" i="3"/>
  <c r="L376" i="3" s="1"/>
  <c r="N376" i="3" s="1"/>
  <c r="I375" i="3"/>
  <c r="I507" i="3"/>
  <c r="K507" i="3" s="1"/>
  <c r="M507" i="3" s="1"/>
  <c r="O507" i="3" s="1"/>
  <c r="I467" i="3"/>
  <c r="I460" i="3"/>
  <c r="J458" i="3"/>
  <c r="J453" i="3"/>
  <c r="L453" i="3" s="1"/>
  <c r="N453" i="3" s="1"/>
  <c r="I452" i="3"/>
  <c r="J450" i="3"/>
  <c r="J445" i="3"/>
  <c r="I444" i="3"/>
  <c r="J442" i="3"/>
  <c r="J437" i="3"/>
  <c r="I433" i="3"/>
  <c r="I428" i="3"/>
  <c r="J427" i="3"/>
  <c r="J426" i="3"/>
  <c r="I422" i="3"/>
  <c r="J421" i="3"/>
  <c r="L421" i="3" s="1"/>
  <c r="N421" i="3" s="1"/>
  <c r="J417" i="3"/>
  <c r="I416" i="3"/>
  <c r="J413" i="3"/>
  <c r="I412" i="3"/>
  <c r="J409" i="3"/>
  <c r="I408" i="3"/>
  <c r="J405" i="3"/>
  <c r="I404" i="3"/>
  <c r="J401" i="3"/>
  <c r="I400" i="3"/>
  <c r="J397" i="3"/>
  <c r="I396" i="3"/>
  <c r="J393" i="3"/>
  <c r="I392" i="3"/>
  <c r="J389" i="3"/>
  <c r="I388" i="3"/>
  <c r="J385" i="3"/>
  <c r="I384" i="3"/>
  <c r="J381" i="3"/>
  <c r="I380" i="3"/>
  <c r="J377" i="3"/>
  <c r="I376" i="3"/>
  <c r="J457" i="3"/>
  <c r="J449" i="3"/>
  <c r="J441" i="3"/>
  <c r="I436" i="3"/>
  <c r="J434" i="3"/>
  <c r="J431" i="3"/>
  <c r="L431" i="3" s="1"/>
  <c r="N431" i="3" s="1"/>
  <c r="J429" i="3"/>
  <c r="J425" i="3"/>
  <c r="I420" i="3"/>
  <c r="J418" i="3"/>
  <c r="L418" i="3" s="1"/>
  <c r="N418" i="3" s="1"/>
  <c r="J414" i="3"/>
  <c r="I413" i="3"/>
  <c r="J411" i="3"/>
  <c r="J406" i="3"/>
  <c r="L406" i="3" s="1"/>
  <c r="N406" i="3" s="1"/>
  <c r="I405" i="3"/>
  <c r="J403" i="3"/>
  <c r="J398" i="3"/>
  <c r="I397" i="3"/>
  <c r="J395" i="3"/>
  <c r="J390" i="3"/>
  <c r="I389" i="3"/>
  <c r="J387" i="3"/>
  <c r="J382" i="3"/>
  <c r="I381" i="3"/>
  <c r="J379" i="3"/>
  <c r="J374" i="3"/>
  <c r="I373" i="3"/>
  <c r="K373" i="3" s="1"/>
  <c r="M373" i="3" s="1"/>
  <c r="O373" i="3" s="1"/>
  <c r="J370" i="3"/>
  <c r="I369" i="3"/>
  <c r="J366" i="3"/>
  <c r="I365" i="3"/>
  <c r="J362" i="3"/>
  <c r="I361" i="3"/>
  <c r="J358" i="3"/>
  <c r="I357" i="3"/>
  <c r="J354" i="3"/>
  <c r="I353" i="3"/>
  <c r="I472" i="3"/>
  <c r="K472" i="3" s="1"/>
  <c r="M472" i="3" s="1"/>
  <c r="O472" i="3" s="1"/>
  <c r="J465" i="3"/>
  <c r="I456" i="3"/>
  <c r="J454" i="3"/>
  <c r="I448" i="3"/>
  <c r="J446" i="3"/>
  <c r="I440" i="3"/>
  <c r="J438" i="3"/>
  <c r="J430" i="3"/>
  <c r="L430" i="3" s="1"/>
  <c r="N430" i="3" s="1"/>
  <c r="I425" i="3"/>
  <c r="I414" i="3"/>
  <c r="I406" i="3"/>
  <c r="I398" i="3"/>
  <c r="K398" i="3" s="1"/>
  <c r="M398" i="3" s="1"/>
  <c r="O398" i="3" s="1"/>
  <c r="I390" i="3"/>
  <c r="I382" i="3"/>
  <c r="I374" i="3"/>
  <c r="J468" i="3"/>
  <c r="I459" i="3"/>
  <c r="I453" i="3"/>
  <c r="I421" i="3"/>
  <c r="I410" i="3"/>
  <c r="I402" i="3"/>
  <c r="I394" i="3"/>
  <c r="I386" i="3"/>
  <c r="I378" i="3"/>
  <c r="K378" i="3" s="1"/>
  <c r="M378" i="3" s="1"/>
  <c r="O378" i="3" s="1"/>
  <c r="J373" i="3"/>
  <c r="J372" i="3"/>
  <c r="I368" i="3"/>
  <c r="K368" i="3" s="1"/>
  <c r="M368" i="3" s="1"/>
  <c r="O368" i="3" s="1"/>
  <c r="J367" i="3"/>
  <c r="I363" i="3"/>
  <c r="I358" i="3"/>
  <c r="J357" i="3"/>
  <c r="J356" i="3"/>
  <c r="L356" i="3" s="1"/>
  <c r="N356" i="3" s="1"/>
  <c r="I352" i="3"/>
  <c r="J350" i="3"/>
  <c r="I349" i="3"/>
  <c r="K349" i="3" s="1"/>
  <c r="M349" i="3" s="1"/>
  <c r="J346" i="3"/>
  <c r="I345" i="3"/>
  <c r="K345" i="3" s="1"/>
  <c r="M345" i="3" s="1"/>
  <c r="O345" i="3" s="1"/>
  <c r="J342" i="3"/>
  <c r="I341" i="3"/>
  <c r="J338" i="3"/>
  <c r="I337" i="3"/>
  <c r="J334" i="3"/>
  <c r="I333" i="3"/>
  <c r="J330" i="3"/>
  <c r="I329" i="3"/>
  <c r="J326" i="3"/>
  <c r="L326" i="3" s="1"/>
  <c r="N326" i="3" s="1"/>
  <c r="I325" i="3"/>
  <c r="J322" i="3"/>
  <c r="I321" i="3"/>
  <c r="J318" i="3"/>
  <c r="I317" i="3"/>
  <c r="J314" i="3"/>
  <c r="I313" i="3"/>
  <c r="J310" i="3"/>
  <c r="L310" i="3" s="1"/>
  <c r="N310" i="3" s="1"/>
  <c r="I309" i="3"/>
  <c r="J306" i="3"/>
  <c r="I305" i="3"/>
  <c r="K305" i="3" s="1"/>
  <c r="M305" i="3" s="1"/>
  <c r="O305" i="3" s="1"/>
  <c r="I432" i="3"/>
  <c r="I430" i="3"/>
  <c r="I426" i="3"/>
  <c r="K426" i="3" s="1"/>
  <c r="M426" i="3" s="1"/>
  <c r="O426" i="3" s="1"/>
  <c r="J419" i="3"/>
  <c r="I417" i="3"/>
  <c r="I409" i="3"/>
  <c r="I401" i="3"/>
  <c r="K401" i="3" s="1"/>
  <c r="M401" i="3" s="1"/>
  <c r="O401" i="3" s="1"/>
  <c r="I393" i="3"/>
  <c r="I385" i="3"/>
  <c r="I377" i="3"/>
  <c r="I372" i="3"/>
  <c r="K372" i="3" s="1"/>
  <c r="M372" i="3" s="1"/>
  <c r="O372" i="3" s="1"/>
  <c r="J371" i="3"/>
  <c r="I367" i="3"/>
  <c r="I362" i="3"/>
  <c r="J361" i="3"/>
  <c r="J360" i="3"/>
  <c r="I356" i="3"/>
  <c r="J355" i="3"/>
  <c r="J351" i="3"/>
  <c r="I350" i="3"/>
  <c r="J347" i="3"/>
  <c r="I346" i="3"/>
  <c r="J343" i="3"/>
  <c r="L343" i="3" s="1"/>
  <c r="N343" i="3" s="1"/>
  <c r="I342" i="3"/>
  <c r="J339" i="3"/>
  <c r="I338" i="3"/>
  <c r="J335" i="3"/>
  <c r="L335" i="3" s="1"/>
  <c r="N335" i="3" s="1"/>
  <c r="I334" i="3"/>
  <c r="J331" i="3"/>
  <c r="I330" i="3"/>
  <c r="J327" i="3"/>
  <c r="L327" i="3" s="1"/>
  <c r="N327" i="3" s="1"/>
  <c r="I326" i="3"/>
  <c r="K326" i="3" s="1"/>
  <c r="M326" i="3" s="1"/>
  <c r="O326" i="3" s="1"/>
  <c r="J323" i="3"/>
  <c r="I322" i="3"/>
  <c r="J319" i="3"/>
  <c r="L319" i="3" s="1"/>
  <c r="N319" i="3" s="1"/>
  <c r="I318" i="3"/>
  <c r="J315" i="3"/>
  <c r="I314" i="3"/>
  <c r="J311" i="3"/>
  <c r="L311" i="3" s="1"/>
  <c r="N311" i="3" s="1"/>
  <c r="I310" i="3"/>
  <c r="J307" i="3"/>
  <c r="I306" i="3"/>
  <c r="I437" i="3"/>
  <c r="K437" i="3" s="1"/>
  <c r="M437" i="3" s="1"/>
  <c r="O437" i="3" s="1"/>
  <c r="J435" i="3"/>
  <c r="J415" i="3"/>
  <c r="J407" i="3"/>
  <c r="J399" i="3"/>
  <c r="J391" i="3"/>
  <c r="J383" i="3"/>
  <c r="J375" i="3"/>
  <c r="I371" i="3"/>
  <c r="K371" i="3" s="1"/>
  <c r="M371" i="3" s="1"/>
  <c r="O371" i="3" s="1"/>
  <c r="I366" i="3"/>
  <c r="J365" i="3"/>
  <c r="J364" i="3"/>
  <c r="I360" i="3"/>
  <c r="J359" i="3"/>
  <c r="I355" i="3"/>
  <c r="I351" i="3"/>
  <c r="J348" i="3"/>
  <c r="L348" i="3" s="1"/>
  <c r="N348" i="3" s="1"/>
  <c r="I347" i="3"/>
  <c r="J344" i="3"/>
  <c r="I343" i="3"/>
  <c r="J340" i="3"/>
  <c r="L340" i="3" s="1"/>
  <c r="N340" i="3" s="1"/>
  <c r="I339" i="3"/>
  <c r="J336" i="3"/>
  <c r="I335" i="3"/>
  <c r="J332" i="3"/>
  <c r="L332" i="3" s="1"/>
  <c r="N332" i="3" s="1"/>
  <c r="I331" i="3"/>
  <c r="J328" i="3"/>
  <c r="I327" i="3"/>
  <c r="I445" i="3"/>
  <c r="K445" i="3" s="1"/>
  <c r="M445" i="3" s="1"/>
  <c r="O445" i="3" s="1"/>
  <c r="J410" i="3"/>
  <c r="J394" i="3"/>
  <c r="J378" i="3"/>
  <c r="J349" i="3"/>
  <c r="L349" i="3" s="1"/>
  <c r="N349" i="3" s="1"/>
  <c r="J341" i="3"/>
  <c r="J333" i="3"/>
  <c r="J325" i="3"/>
  <c r="I320" i="3"/>
  <c r="K320" i="3" s="1"/>
  <c r="M320" i="3" s="1"/>
  <c r="O320" i="3" s="1"/>
  <c r="I348" i="3"/>
  <c r="I340" i="3"/>
  <c r="I332" i="3"/>
  <c r="J324" i="3"/>
  <c r="L324" i="3" s="1"/>
  <c r="N324" i="3" s="1"/>
  <c r="I323" i="3"/>
  <c r="J321" i="3"/>
  <c r="J316" i="3"/>
  <c r="I315" i="3"/>
  <c r="J313" i="3"/>
  <c r="J308" i="3"/>
  <c r="I307" i="3"/>
  <c r="J305" i="3"/>
  <c r="L305" i="3" s="1"/>
  <c r="N305" i="3" s="1"/>
  <c r="J302" i="3"/>
  <c r="I301" i="3"/>
  <c r="K301" i="3" s="1"/>
  <c r="M301" i="3" s="1"/>
  <c r="O301" i="3" s="1"/>
  <c r="J298" i="3"/>
  <c r="L298" i="3" s="1"/>
  <c r="N298" i="3" s="1"/>
  <c r="I297" i="3"/>
  <c r="K297" i="3" s="1"/>
  <c r="M297" i="3" s="1"/>
  <c r="O297" i="3" s="1"/>
  <c r="J294" i="3"/>
  <c r="I293" i="3"/>
  <c r="K293" i="3" s="1"/>
  <c r="M293" i="3" s="1"/>
  <c r="O293" i="3" s="1"/>
  <c r="J290" i="3"/>
  <c r="L290" i="3" s="1"/>
  <c r="N290" i="3" s="1"/>
  <c r="I289" i="3"/>
  <c r="K289" i="3" s="1"/>
  <c r="M289" i="3" s="1"/>
  <c r="J286" i="3"/>
  <c r="I285" i="3"/>
  <c r="K285" i="3" s="1"/>
  <c r="M285" i="3" s="1"/>
  <c r="J282" i="3"/>
  <c r="L282" i="3" s="1"/>
  <c r="N282" i="3" s="1"/>
  <c r="I281" i="3"/>
  <c r="K281" i="3" s="1"/>
  <c r="M281" i="3" s="1"/>
  <c r="J278" i="3"/>
  <c r="I277" i="3"/>
  <c r="K277" i="3" s="1"/>
  <c r="M277" i="3" s="1"/>
  <c r="J274" i="3"/>
  <c r="L274" i="3" s="1"/>
  <c r="N274" i="3" s="1"/>
  <c r="I273" i="3"/>
  <c r="K273" i="3" s="1"/>
  <c r="M273" i="3" s="1"/>
  <c r="O273" i="3" s="1"/>
  <c r="J270" i="3"/>
  <c r="I269" i="3"/>
  <c r="K269" i="3" s="1"/>
  <c r="M269" i="3" s="1"/>
  <c r="J266" i="3"/>
  <c r="L266" i="3" s="1"/>
  <c r="N266" i="3" s="1"/>
  <c r="I265" i="3"/>
  <c r="K265" i="3" s="1"/>
  <c r="M265" i="3" s="1"/>
  <c r="O265" i="3" s="1"/>
  <c r="J262" i="3"/>
  <c r="I261" i="3"/>
  <c r="K261" i="3" s="1"/>
  <c r="M261" i="3" s="1"/>
  <c r="O261" i="3" s="1"/>
  <c r="J258" i="3"/>
  <c r="L258" i="3" s="1"/>
  <c r="N258" i="3" s="1"/>
  <c r="I257" i="3"/>
  <c r="K257" i="3" s="1"/>
  <c r="M257" i="3" s="1"/>
  <c r="J402" i="3"/>
  <c r="J386" i="3"/>
  <c r="I370" i="3"/>
  <c r="I364" i="3"/>
  <c r="K364" i="3" s="1"/>
  <c r="M364" i="3" s="1"/>
  <c r="O364" i="3" s="1"/>
  <c r="J363" i="3"/>
  <c r="I359" i="3"/>
  <c r="I354" i="3"/>
  <c r="J345" i="3"/>
  <c r="L345" i="3" s="1"/>
  <c r="N345" i="3" s="1"/>
  <c r="J337" i="3"/>
  <c r="J329" i="3"/>
  <c r="I324" i="3"/>
  <c r="I316" i="3"/>
  <c r="K316" i="3" s="1"/>
  <c r="M316" i="3" s="1"/>
  <c r="O316" i="3" s="1"/>
  <c r="I308" i="3"/>
  <c r="J303" i="3"/>
  <c r="I302" i="3"/>
  <c r="J299" i="3"/>
  <c r="L299" i="3" s="1"/>
  <c r="N299" i="3" s="1"/>
  <c r="I298" i="3"/>
  <c r="J295" i="3"/>
  <c r="I294" i="3"/>
  <c r="J291" i="3"/>
  <c r="L291" i="3" s="1"/>
  <c r="N291" i="3" s="1"/>
  <c r="I290" i="3"/>
  <c r="K290" i="3" s="1"/>
  <c r="M290" i="3" s="1"/>
  <c r="O290" i="3" s="1"/>
  <c r="J287" i="3"/>
  <c r="I286" i="3"/>
  <c r="J283" i="3"/>
  <c r="L283" i="3" s="1"/>
  <c r="N283" i="3" s="1"/>
  <c r="I282" i="3"/>
  <c r="K282" i="3" s="1"/>
  <c r="M282" i="3" s="1"/>
  <c r="O282" i="3" s="1"/>
  <c r="J279" i="3"/>
  <c r="I278" i="3"/>
  <c r="J275" i="3"/>
  <c r="L275" i="3" s="1"/>
  <c r="N275" i="3" s="1"/>
  <c r="I274" i="3"/>
  <c r="K274" i="3" s="1"/>
  <c r="M274" i="3" s="1"/>
  <c r="O274" i="3" s="1"/>
  <c r="J271" i="3"/>
  <c r="I270" i="3"/>
  <c r="J267" i="3"/>
  <c r="L267" i="3" s="1"/>
  <c r="N267" i="3" s="1"/>
  <c r="I266" i="3"/>
  <c r="J263" i="3"/>
  <c r="I262" i="3"/>
  <c r="J259" i="3"/>
  <c r="L259" i="3" s="1"/>
  <c r="N259" i="3" s="1"/>
  <c r="I258" i="3"/>
  <c r="K258" i="3" s="1"/>
  <c r="M258" i="3" s="1"/>
  <c r="O258" i="3" s="1"/>
  <c r="J255" i="3"/>
  <c r="J369" i="3"/>
  <c r="I328" i="3"/>
  <c r="I312" i="3"/>
  <c r="J304" i="3"/>
  <c r="I303" i="3"/>
  <c r="J301" i="3"/>
  <c r="J296" i="3"/>
  <c r="I295" i="3"/>
  <c r="J293" i="3"/>
  <c r="J288" i="3"/>
  <c r="L288" i="3" s="1"/>
  <c r="N288" i="3" s="1"/>
  <c r="I287" i="3"/>
  <c r="J285" i="3"/>
  <c r="L285" i="3" s="1"/>
  <c r="N285" i="3" s="1"/>
  <c r="J280" i="3"/>
  <c r="I279" i="3"/>
  <c r="J277" i="3"/>
  <c r="L277" i="3" s="1"/>
  <c r="N277" i="3" s="1"/>
  <c r="J272" i="3"/>
  <c r="I271" i="3"/>
  <c r="J269" i="3"/>
  <c r="L269" i="3" s="1"/>
  <c r="N269" i="3" s="1"/>
  <c r="J264" i="3"/>
  <c r="I263" i="3"/>
  <c r="J261" i="3"/>
  <c r="J256" i="3"/>
  <c r="L256" i="3" s="1"/>
  <c r="N256" i="3" s="1"/>
  <c r="I255" i="3"/>
  <c r="I254" i="3"/>
  <c r="K254" i="3" s="1"/>
  <c r="M254" i="3" s="1"/>
  <c r="O254" i="3" s="1"/>
  <c r="J251" i="3"/>
  <c r="L251" i="3" s="1"/>
  <c r="N251" i="3" s="1"/>
  <c r="I250" i="3"/>
  <c r="K250" i="3" s="1"/>
  <c r="M250" i="3" s="1"/>
  <c r="J247" i="3"/>
  <c r="I246" i="3"/>
  <c r="K246" i="3" s="1"/>
  <c r="M246" i="3" s="1"/>
  <c r="O246" i="3" s="1"/>
  <c r="J243" i="3"/>
  <c r="I242" i="3"/>
  <c r="K242" i="3" s="1"/>
  <c r="M242" i="3" s="1"/>
  <c r="O242" i="3" s="1"/>
  <c r="J239" i="3"/>
  <c r="I238" i="3"/>
  <c r="J235" i="3"/>
  <c r="I234" i="3"/>
  <c r="K234" i="3" s="1"/>
  <c r="M234" i="3" s="1"/>
  <c r="J231" i="3"/>
  <c r="I230" i="3"/>
  <c r="K230" i="3" s="1"/>
  <c r="M230" i="3" s="1"/>
  <c r="O230" i="3" s="1"/>
  <c r="J227" i="3"/>
  <c r="I226" i="3"/>
  <c r="K226" i="3" s="1"/>
  <c r="M226" i="3" s="1"/>
  <c r="J223" i="3"/>
  <c r="I222" i="3"/>
  <c r="K222" i="3" s="1"/>
  <c r="M222" i="3" s="1"/>
  <c r="O222" i="3" s="1"/>
  <c r="J219" i="3"/>
  <c r="L219" i="3" s="1"/>
  <c r="N219" i="3" s="1"/>
  <c r="I218" i="3"/>
  <c r="K218" i="3" s="1"/>
  <c r="M218" i="3" s="1"/>
  <c r="J215" i="3"/>
  <c r="I214" i="3"/>
  <c r="K214" i="3" s="1"/>
  <c r="M214" i="3" s="1"/>
  <c r="O214" i="3" s="1"/>
  <c r="J211" i="3"/>
  <c r="I210" i="3"/>
  <c r="K210" i="3" s="1"/>
  <c r="M210" i="3" s="1"/>
  <c r="J207" i="3"/>
  <c r="I206" i="3"/>
  <c r="K206" i="3" s="1"/>
  <c r="M206" i="3" s="1"/>
  <c r="J203" i="3"/>
  <c r="I202" i="3"/>
  <c r="K202" i="3" s="1"/>
  <c r="M202" i="3" s="1"/>
  <c r="J199" i="3"/>
  <c r="L199" i="3" s="1"/>
  <c r="N199" i="3" s="1"/>
  <c r="I198" i="3"/>
  <c r="K198" i="3" s="1"/>
  <c r="M198" i="3" s="1"/>
  <c r="J195" i="3"/>
  <c r="I194" i="3"/>
  <c r="K194" i="3" s="1"/>
  <c r="M194" i="3" s="1"/>
  <c r="J191" i="3"/>
  <c r="L191" i="3" s="1"/>
  <c r="N191" i="3" s="1"/>
  <c r="I190" i="3"/>
  <c r="J187" i="3"/>
  <c r="I186" i="3"/>
  <c r="K186" i="3" s="1"/>
  <c r="M186" i="3" s="1"/>
  <c r="J183" i="3"/>
  <c r="L183" i="3" s="1"/>
  <c r="N183" i="3" s="1"/>
  <c r="I182" i="3"/>
  <c r="K182" i="3" s="1"/>
  <c r="M182" i="3" s="1"/>
  <c r="O182" i="3" s="1"/>
  <c r="J179" i="3"/>
  <c r="I178" i="3"/>
  <c r="K178" i="3" s="1"/>
  <c r="M178" i="3" s="1"/>
  <c r="J175" i="3"/>
  <c r="L175" i="3" s="1"/>
  <c r="N175" i="3" s="1"/>
  <c r="I174" i="3"/>
  <c r="J171" i="3"/>
  <c r="I170" i="3"/>
  <c r="K170" i="3" s="1"/>
  <c r="M170" i="3" s="1"/>
  <c r="J320" i="3"/>
  <c r="J317" i="3"/>
  <c r="I311" i="3"/>
  <c r="I304" i="3"/>
  <c r="K304" i="3" s="1"/>
  <c r="M304" i="3" s="1"/>
  <c r="O304" i="3" s="1"/>
  <c r="I296" i="3"/>
  <c r="I288" i="3"/>
  <c r="I280" i="3"/>
  <c r="I272" i="3"/>
  <c r="K272" i="3" s="1"/>
  <c r="M272" i="3" s="1"/>
  <c r="O272" i="3" s="1"/>
  <c r="I264" i="3"/>
  <c r="I256" i="3"/>
  <c r="J252" i="3"/>
  <c r="L252" i="3" s="1"/>
  <c r="N252" i="3" s="1"/>
  <c r="I251" i="3"/>
  <c r="K251" i="3" s="1"/>
  <c r="M251" i="3" s="1"/>
  <c r="O251" i="3" s="1"/>
  <c r="J248" i="3"/>
  <c r="I247" i="3"/>
  <c r="J244" i="3"/>
  <c r="L244" i="3" s="1"/>
  <c r="N244" i="3" s="1"/>
  <c r="I243" i="3"/>
  <c r="K243" i="3" s="1"/>
  <c r="M243" i="3" s="1"/>
  <c r="O243" i="3" s="1"/>
  <c r="J240" i="3"/>
  <c r="I239" i="3"/>
  <c r="J236" i="3"/>
  <c r="L236" i="3" s="1"/>
  <c r="N236" i="3" s="1"/>
  <c r="I235" i="3"/>
  <c r="K235" i="3" s="1"/>
  <c r="M235" i="3" s="1"/>
  <c r="O235" i="3" s="1"/>
  <c r="J232" i="3"/>
  <c r="I231" i="3"/>
  <c r="J228" i="3"/>
  <c r="L228" i="3" s="1"/>
  <c r="N228" i="3" s="1"/>
  <c r="I227" i="3"/>
  <c r="K227" i="3" s="1"/>
  <c r="M227" i="3" s="1"/>
  <c r="O227" i="3" s="1"/>
  <c r="J224" i="3"/>
  <c r="I223" i="3"/>
  <c r="J220" i="3"/>
  <c r="L220" i="3" s="1"/>
  <c r="N220" i="3" s="1"/>
  <c r="I219" i="3"/>
  <c r="K219" i="3" s="1"/>
  <c r="M219" i="3" s="1"/>
  <c r="O219" i="3" s="1"/>
  <c r="J216" i="3"/>
  <c r="I215" i="3"/>
  <c r="J212" i="3"/>
  <c r="L212" i="3" s="1"/>
  <c r="N212" i="3" s="1"/>
  <c r="I211" i="3"/>
  <c r="K211" i="3" s="1"/>
  <c r="M211" i="3" s="1"/>
  <c r="O211" i="3" s="1"/>
  <c r="J208" i="3"/>
  <c r="I207" i="3"/>
  <c r="J204" i="3"/>
  <c r="L204" i="3" s="1"/>
  <c r="N204" i="3" s="1"/>
  <c r="I203" i="3"/>
  <c r="K203" i="3" s="1"/>
  <c r="M203" i="3" s="1"/>
  <c r="O203" i="3" s="1"/>
  <c r="J200" i="3"/>
  <c r="I199" i="3"/>
  <c r="K199" i="3" s="1"/>
  <c r="M199" i="3" s="1"/>
  <c r="J196" i="3"/>
  <c r="I195" i="3"/>
  <c r="J192" i="3"/>
  <c r="I191" i="3"/>
  <c r="K191" i="3" s="1"/>
  <c r="M191" i="3" s="1"/>
  <c r="J188" i="3"/>
  <c r="I187" i="3"/>
  <c r="J184" i="3"/>
  <c r="I183" i="3"/>
  <c r="K183" i="3" s="1"/>
  <c r="M183" i="3" s="1"/>
  <c r="J180" i="3"/>
  <c r="I179" i="3"/>
  <c r="J176" i="3"/>
  <c r="I175" i="3"/>
  <c r="J172" i="3"/>
  <c r="I171" i="3"/>
  <c r="J168" i="3"/>
  <c r="L168" i="3" s="1"/>
  <c r="N168" i="3" s="1"/>
  <c r="I167" i="3"/>
  <c r="K167" i="3" s="1"/>
  <c r="M167" i="3" s="1"/>
  <c r="O167" i="3" s="1"/>
  <c r="J164" i="3"/>
  <c r="I163" i="3"/>
  <c r="J160" i="3"/>
  <c r="I159" i="3"/>
  <c r="K159" i="3" s="1"/>
  <c r="M159" i="3" s="1"/>
  <c r="J156" i="3"/>
  <c r="I155" i="3"/>
  <c r="K155" i="3" s="1"/>
  <c r="M155" i="3" s="1"/>
  <c r="J152" i="3"/>
  <c r="L152" i="3" s="1"/>
  <c r="N152" i="3" s="1"/>
  <c r="I151" i="3"/>
  <c r="K151" i="3" s="1"/>
  <c r="M151" i="3" s="1"/>
  <c r="O151" i="3" s="1"/>
  <c r="J148" i="3"/>
  <c r="I147" i="3"/>
  <c r="J144" i="3"/>
  <c r="I143" i="3"/>
  <c r="K143" i="3" s="1"/>
  <c r="M143" i="3" s="1"/>
  <c r="J140" i="3"/>
  <c r="I139" i="3"/>
  <c r="K139" i="3" s="1"/>
  <c r="M139" i="3" s="1"/>
  <c r="J136" i="3"/>
  <c r="L136" i="3" s="1"/>
  <c r="N136" i="3" s="1"/>
  <c r="I135" i="3"/>
  <c r="K135" i="3" s="1"/>
  <c r="M135" i="3" s="1"/>
  <c r="O135" i="3" s="1"/>
  <c r="J132" i="3"/>
  <c r="J352" i="3"/>
  <c r="I344" i="3"/>
  <c r="I319" i="3"/>
  <c r="J309" i="3"/>
  <c r="J300" i="3"/>
  <c r="L300" i="3" s="1"/>
  <c r="N300" i="3" s="1"/>
  <c r="I299" i="3"/>
  <c r="J297" i="3"/>
  <c r="L297" i="3" s="1"/>
  <c r="N297" i="3" s="1"/>
  <c r="J292" i="3"/>
  <c r="I291" i="3"/>
  <c r="K291" i="3" s="1"/>
  <c r="M291" i="3" s="1"/>
  <c r="O291" i="3" s="1"/>
  <c r="J289" i="3"/>
  <c r="L289" i="3" s="1"/>
  <c r="N289" i="3" s="1"/>
  <c r="J284" i="3"/>
  <c r="I283" i="3"/>
  <c r="J281" i="3"/>
  <c r="L281" i="3" s="1"/>
  <c r="N281" i="3" s="1"/>
  <c r="J276" i="3"/>
  <c r="L276" i="3" s="1"/>
  <c r="N276" i="3" s="1"/>
  <c r="I275" i="3"/>
  <c r="J273" i="3"/>
  <c r="L273" i="3" s="1"/>
  <c r="N273" i="3" s="1"/>
  <c r="J268" i="3"/>
  <c r="L268" i="3" s="1"/>
  <c r="N268" i="3" s="1"/>
  <c r="I267" i="3"/>
  <c r="J265" i="3"/>
  <c r="L265" i="3" s="1"/>
  <c r="N265" i="3" s="1"/>
  <c r="J260" i="3"/>
  <c r="I259" i="3"/>
  <c r="K259" i="3" s="1"/>
  <c r="M259" i="3" s="1"/>
  <c r="O259" i="3" s="1"/>
  <c r="J257" i="3"/>
  <c r="L257" i="3" s="1"/>
  <c r="N257" i="3" s="1"/>
  <c r="J253" i="3"/>
  <c r="I252" i="3"/>
  <c r="K252" i="3" s="1"/>
  <c r="M252" i="3" s="1"/>
  <c r="O252" i="3" s="1"/>
  <c r="J249" i="3"/>
  <c r="L249" i="3" s="1"/>
  <c r="N249" i="3" s="1"/>
  <c r="I248" i="3"/>
  <c r="J245" i="3"/>
  <c r="L245" i="3" s="1"/>
  <c r="N245" i="3" s="1"/>
  <c r="I244" i="3"/>
  <c r="K244" i="3" s="1"/>
  <c r="M244" i="3" s="1"/>
  <c r="O244" i="3" s="1"/>
  <c r="J241" i="3"/>
  <c r="L241" i="3" s="1"/>
  <c r="N241" i="3" s="1"/>
  <c r="I240" i="3"/>
  <c r="J237" i="3"/>
  <c r="L237" i="3" s="1"/>
  <c r="N237" i="3" s="1"/>
  <c r="I236" i="3"/>
  <c r="K236" i="3" s="1"/>
  <c r="M236" i="3" s="1"/>
  <c r="O236" i="3" s="1"/>
  <c r="J233" i="3"/>
  <c r="I232" i="3"/>
  <c r="J229" i="3"/>
  <c r="L229" i="3" s="1"/>
  <c r="N229" i="3" s="1"/>
  <c r="I228" i="3"/>
  <c r="K228" i="3" s="1"/>
  <c r="M228" i="3" s="1"/>
  <c r="O228" i="3" s="1"/>
  <c r="J225" i="3"/>
  <c r="L225" i="3" s="1"/>
  <c r="N225" i="3" s="1"/>
  <c r="I224" i="3"/>
  <c r="J221" i="3"/>
  <c r="I220" i="3"/>
  <c r="K220" i="3" s="1"/>
  <c r="M220" i="3" s="1"/>
  <c r="O220" i="3" s="1"/>
  <c r="J217" i="3"/>
  <c r="L217" i="3" s="1"/>
  <c r="N217" i="3" s="1"/>
  <c r="I216" i="3"/>
  <c r="J213" i="3"/>
  <c r="L213" i="3" s="1"/>
  <c r="N213" i="3" s="1"/>
  <c r="I212" i="3"/>
  <c r="K212" i="3" s="1"/>
  <c r="M212" i="3" s="1"/>
  <c r="O212" i="3" s="1"/>
  <c r="J209" i="3"/>
  <c r="L209" i="3" s="1"/>
  <c r="N209" i="3" s="1"/>
  <c r="I208" i="3"/>
  <c r="J205" i="3"/>
  <c r="L205" i="3" s="1"/>
  <c r="N205" i="3" s="1"/>
  <c r="I204" i="3"/>
  <c r="K204" i="3" s="1"/>
  <c r="M204" i="3" s="1"/>
  <c r="O204" i="3" s="1"/>
  <c r="I14" i="3"/>
  <c r="K14" i="3" s="1"/>
  <c r="M14" i="3" s="1"/>
  <c r="O14" i="3" s="1"/>
  <c r="J15" i="3"/>
  <c r="I26" i="3"/>
  <c r="K26" i="3" s="1"/>
  <c r="M26" i="3" s="1"/>
  <c r="J27" i="3"/>
  <c r="I30" i="3"/>
  <c r="K30" i="3" s="1"/>
  <c r="M30" i="3" s="1"/>
  <c r="J35" i="3"/>
  <c r="J39" i="3"/>
  <c r="I42" i="3"/>
  <c r="K42" i="3" s="1"/>
  <c r="M42" i="3" s="1"/>
  <c r="J43" i="3"/>
  <c r="I46" i="3"/>
  <c r="K46" i="3" s="1"/>
  <c r="M46" i="3" s="1"/>
  <c r="J55" i="3"/>
  <c r="J63" i="3"/>
  <c r="I66" i="3"/>
  <c r="K66" i="3" s="1"/>
  <c r="M66" i="3" s="1"/>
  <c r="O66" i="3" s="1"/>
  <c r="I70" i="3"/>
  <c r="K70" i="3" s="1"/>
  <c r="M70" i="3" s="1"/>
  <c r="O70" i="3" s="1"/>
  <c r="I78" i="3"/>
  <c r="J79" i="3"/>
  <c r="L79" i="3" s="1"/>
  <c r="N79" i="3" s="1"/>
  <c r="I82" i="3"/>
  <c r="K82" i="3" s="1"/>
  <c r="M82" i="3" s="1"/>
  <c r="O82" i="3" s="1"/>
  <c r="J83" i="3"/>
  <c r="L83" i="3" s="1"/>
  <c r="N83" i="3" s="1"/>
  <c r="I86" i="3"/>
  <c r="K86" i="3" s="1"/>
  <c r="M86" i="3" s="1"/>
  <c r="J87" i="3"/>
  <c r="I90" i="3"/>
  <c r="K90" i="3" s="1"/>
  <c r="M90" i="3" s="1"/>
  <c r="O90" i="3" s="1"/>
  <c r="J91" i="3"/>
  <c r="I94" i="3"/>
  <c r="K94" i="3" s="1"/>
  <c r="M94" i="3" s="1"/>
  <c r="J95" i="3"/>
  <c r="L95" i="3" s="1"/>
  <c r="N95" i="3" s="1"/>
  <c r="I98" i="3"/>
  <c r="K98" i="3" s="1"/>
  <c r="M98" i="3" s="1"/>
  <c r="O98" i="3" s="1"/>
  <c r="J99" i="3"/>
  <c r="L99" i="3" s="1"/>
  <c r="N99" i="3" s="1"/>
  <c r="I106" i="3"/>
  <c r="K106" i="3" s="1"/>
  <c r="M106" i="3" s="1"/>
  <c r="J107" i="3"/>
  <c r="I13" i="3"/>
  <c r="J14" i="3"/>
  <c r="J513" i="3" s="1"/>
  <c r="I17" i="3"/>
  <c r="K17" i="3" s="1"/>
  <c r="M17" i="3" s="1"/>
  <c r="O17" i="3" s="1"/>
  <c r="J18" i="3"/>
  <c r="L18" i="3" s="1"/>
  <c r="N18" i="3" s="1"/>
  <c r="I21" i="3"/>
  <c r="K21" i="3" s="1"/>
  <c r="M21" i="3" s="1"/>
  <c r="O21" i="3" s="1"/>
  <c r="J22" i="3"/>
  <c r="I25" i="3"/>
  <c r="K25" i="3" s="1"/>
  <c r="M25" i="3" s="1"/>
  <c r="O25" i="3" s="1"/>
  <c r="J26" i="3"/>
  <c r="L26" i="3" s="1"/>
  <c r="N26" i="3" s="1"/>
  <c r="I29" i="3"/>
  <c r="K29" i="3" s="1"/>
  <c r="M29" i="3" s="1"/>
  <c r="O29" i="3" s="1"/>
  <c r="J30" i="3"/>
  <c r="L30" i="3" s="1"/>
  <c r="N30" i="3" s="1"/>
  <c r="I33" i="3"/>
  <c r="J34" i="3"/>
  <c r="I37" i="3"/>
  <c r="K37" i="3" s="1"/>
  <c r="M37" i="3" s="1"/>
  <c r="O37" i="3" s="1"/>
  <c r="J38" i="3"/>
  <c r="L38" i="3" s="1"/>
  <c r="N38" i="3" s="1"/>
  <c r="I41" i="3"/>
  <c r="K41" i="3" s="1"/>
  <c r="M41" i="3" s="1"/>
  <c r="O41" i="3" s="1"/>
  <c r="J42" i="3"/>
  <c r="L42" i="3" s="1"/>
  <c r="N42" i="3" s="1"/>
  <c r="I45" i="3"/>
  <c r="K45" i="3" s="1"/>
  <c r="M45" i="3" s="1"/>
  <c r="O45" i="3" s="1"/>
  <c r="J46" i="3"/>
  <c r="L46" i="3" s="1"/>
  <c r="N46" i="3" s="1"/>
  <c r="I49" i="3"/>
  <c r="J50" i="3"/>
  <c r="I53" i="3"/>
  <c r="K53" i="3" s="1"/>
  <c r="M53" i="3" s="1"/>
  <c r="O53" i="3" s="1"/>
  <c r="J54" i="3"/>
  <c r="L54" i="3" s="1"/>
  <c r="N54" i="3" s="1"/>
  <c r="I57" i="3"/>
  <c r="K57" i="3" s="1"/>
  <c r="M57" i="3" s="1"/>
  <c r="J58" i="3"/>
  <c r="L58" i="3" s="1"/>
  <c r="N58" i="3" s="1"/>
  <c r="I61" i="3"/>
  <c r="K61" i="3" s="1"/>
  <c r="M61" i="3" s="1"/>
  <c r="O61" i="3" s="1"/>
  <c r="J62" i="3"/>
  <c r="L62" i="3" s="1"/>
  <c r="N62" i="3" s="1"/>
  <c r="I65" i="3"/>
  <c r="J66" i="3"/>
  <c r="L66" i="3" s="1"/>
  <c r="N66" i="3" s="1"/>
  <c r="I69" i="3"/>
  <c r="J70" i="3"/>
  <c r="I73" i="3"/>
  <c r="J74" i="3"/>
  <c r="L74" i="3" s="1"/>
  <c r="N74" i="3" s="1"/>
  <c r="I77" i="3"/>
  <c r="J78" i="3"/>
  <c r="L78" i="3" s="1"/>
  <c r="N78" i="3" s="1"/>
  <c r="I81" i="3"/>
  <c r="J82" i="3"/>
  <c r="L82" i="3" s="1"/>
  <c r="N82" i="3" s="1"/>
  <c r="I85" i="3"/>
  <c r="J86" i="3"/>
  <c r="L86" i="3" s="1"/>
  <c r="N86" i="3" s="1"/>
  <c r="I89" i="3"/>
  <c r="J90" i="3"/>
  <c r="I93" i="3"/>
  <c r="J94" i="3"/>
  <c r="L94" i="3" s="1"/>
  <c r="N94" i="3" s="1"/>
  <c r="I97" i="3"/>
  <c r="J98" i="3"/>
  <c r="L98" i="3" s="1"/>
  <c r="N98" i="3" s="1"/>
  <c r="I101" i="3"/>
  <c r="J102" i="3"/>
  <c r="I105" i="3"/>
  <c r="J106" i="3"/>
  <c r="L106" i="3" s="1"/>
  <c r="N106" i="3" s="1"/>
  <c r="I109" i="3"/>
  <c r="J110" i="3"/>
  <c r="L110" i="3" s="1"/>
  <c r="N110" i="3" s="1"/>
  <c r="I113" i="3"/>
  <c r="J114" i="3"/>
  <c r="L114" i="3" s="1"/>
  <c r="N114" i="3" s="1"/>
  <c r="I117" i="3"/>
  <c r="J118" i="3"/>
  <c r="L118" i="3" s="1"/>
  <c r="N118" i="3" s="1"/>
  <c r="I121" i="3"/>
  <c r="J122" i="3"/>
  <c r="I125" i="3"/>
  <c r="J126" i="3"/>
  <c r="L126" i="3" s="1"/>
  <c r="N126" i="3" s="1"/>
  <c r="I129" i="3"/>
  <c r="J130" i="3"/>
  <c r="L130" i="3" s="1"/>
  <c r="N130" i="3" s="1"/>
  <c r="I133" i="3"/>
  <c r="K133" i="3" s="1"/>
  <c r="M133" i="3" s="1"/>
  <c r="O133" i="3" s="1"/>
  <c r="J137" i="3"/>
  <c r="L137" i="3" s="1"/>
  <c r="N137" i="3" s="1"/>
  <c r="I138" i="3"/>
  <c r="K138" i="3" s="1"/>
  <c r="M138" i="3" s="1"/>
  <c r="J142" i="3"/>
  <c r="L142" i="3" s="1"/>
  <c r="N142" i="3" s="1"/>
  <c r="J143" i="3"/>
  <c r="L143" i="3" s="1"/>
  <c r="N143" i="3" s="1"/>
  <c r="F144" i="3"/>
  <c r="I144" i="3"/>
  <c r="I149" i="3"/>
  <c r="K149" i="3" s="1"/>
  <c r="M149" i="3" s="1"/>
  <c r="J153" i="3"/>
  <c r="L153" i="3" s="1"/>
  <c r="N153" i="3" s="1"/>
  <c r="I154" i="3"/>
  <c r="K154" i="3" s="1"/>
  <c r="M154" i="3" s="1"/>
  <c r="O154" i="3" s="1"/>
  <c r="J158" i="3"/>
  <c r="L158" i="3" s="1"/>
  <c r="N158" i="3" s="1"/>
  <c r="J159" i="3"/>
  <c r="L159" i="3" s="1"/>
  <c r="N159" i="3" s="1"/>
  <c r="F160" i="3"/>
  <c r="I160" i="3"/>
  <c r="I165" i="3"/>
  <c r="F171" i="3"/>
  <c r="I173" i="3"/>
  <c r="K173" i="3" s="1"/>
  <c r="M173" i="3" s="1"/>
  <c r="L176" i="3"/>
  <c r="N176" i="3" s="1"/>
  <c r="F179" i="3"/>
  <c r="I181" i="3"/>
  <c r="L184" i="3"/>
  <c r="N184" i="3" s="1"/>
  <c r="F187" i="3"/>
  <c r="I189" i="3"/>
  <c r="L192" i="3"/>
  <c r="N192" i="3" s="1"/>
  <c r="F195" i="3"/>
  <c r="I197" i="3"/>
  <c r="L200" i="3"/>
  <c r="N200" i="3" s="1"/>
  <c r="F207" i="3"/>
  <c r="K208" i="3"/>
  <c r="M208" i="3" s="1"/>
  <c r="O208" i="3" s="1"/>
  <c r="L208" i="3"/>
  <c r="N208" i="3" s="1"/>
  <c r="I209" i="3"/>
  <c r="F215" i="3"/>
  <c r="K216" i="3"/>
  <c r="M216" i="3" s="1"/>
  <c r="O216" i="3" s="1"/>
  <c r="L216" i="3"/>
  <c r="N216" i="3" s="1"/>
  <c r="I217" i="3"/>
  <c r="F223" i="3"/>
  <c r="K224" i="3"/>
  <c r="M224" i="3" s="1"/>
  <c r="O224" i="3" s="1"/>
  <c r="L224" i="3"/>
  <c r="N224" i="3" s="1"/>
  <c r="I225" i="3"/>
  <c r="F231" i="3"/>
  <c r="K232" i="3"/>
  <c r="M232" i="3" s="1"/>
  <c r="O232" i="3" s="1"/>
  <c r="L232" i="3"/>
  <c r="N232" i="3" s="1"/>
  <c r="I233" i="3"/>
  <c r="F239" i="3"/>
  <c r="K240" i="3"/>
  <c r="M240" i="3" s="1"/>
  <c r="O240" i="3" s="1"/>
  <c r="L240" i="3"/>
  <c r="N240" i="3" s="1"/>
  <c r="I241" i="3"/>
  <c r="F247" i="3"/>
  <c r="K248" i="3"/>
  <c r="M248" i="3" s="1"/>
  <c r="O248" i="3" s="1"/>
  <c r="L248" i="3"/>
  <c r="N248" i="3" s="1"/>
  <c r="I249" i="3"/>
  <c r="L296" i="3"/>
  <c r="N296" i="3" s="1"/>
  <c r="K296" i="3"/>
  <c r="M296" i="3" s="1"/>
  <c r="O296" i="3" s="1"/>
  <c r="I300" i="3"/>
  <c r="J312" i="3"/>
  <c r="J37" i="3"/>
  <c r="L37" i="3" s="1"/>
  <c r="N37" i="3" s="1"/>
  <c r="I40" i="3"/>
  <c r="K40" i="3" s="1"/>
  <c r="M40" i="3" s="1"/>
  <c r="O40" i="3" s="1"/>
  <c r="J41" i="3"/>
  <c r="I44" i="3"/>
  <c r="K44" i="3" s="1"/>
  <c r="M44" i="3" s="1"/>
  <c r="O44" i="3" s="1"/>
  <c r="J45" i="3"/>
  <c r="I48" i="3"/>
  <c r="K48" i="3" s="1"/>
  <c r="M48" i="3" s="1"/>
  <c r="O48" i="3" s="1"/>
  <c r="J49" i="3"/>
  <c r="L49" i="3" s="1"/>
  <c r="N49" i="3" s="1"/>
  <c r="I52" i="3"/>
  <c r="K52" i="3" s="1"/>
  <c r="M52" i="3" s="1"/>
  <c r="O52" i="3" s="1"/>
  <c r="J53" i="3"/>
  <c r="I56" i="3"/>
  <c r="K56" i="3" s="1"/>
  <c r="M56" i="3" s="1"/>
  <c r="O56" i="3" s="1"/>
  <c r="J57" i="3"/>
  <c r="L57" i="3" s="1"/>
  <c r="N57" i="3" s="1"/>
  <c r="I60" i="3"/>
  <c r="K60" i="3" s="1"/>
  <c r="M60" i="3" s="1"/>
  <c r="O60" i="3" s="1"/>
  <c r="J61" i="3"/>
  <c r="I64" i="3"/>
  <c r="K64" i="3" s="1"/>
  <c r="M64" i="3" s="1"/>
  <c r="O64" i="3" s="1"/>
  <c r="J65" i="3"/>
  <c r="I68" i="3"/>
  <c r="K68" i="3" s="1"/>
  <c r="M68" i="3" s="1"/>
  <c r="O68" i="3" s="1"/>
  <c r="J69" i="3"/>
  <c r="I72" i="3"/>
  <c r="K72" i="3" s="1"/>
  <c r="M72" i="3" s="1"/>
  <c r="O72" i="3" s="1"/>
  <c r="J73" i="3"/>
  <c r="I76" i="3"/>
  <c r="K76" i="3" s="1"/>
  <c r="M76" i="3" s="1"/>
  <c r="O76" i="3" s="1"/>
  <c r="J77" i="3"/>
  <c r="I80" i="3"/>
  <c r="K80" i="3" s="1"/>
  <c r="M80" i="3" s="1"/>
  <c r="O80" i="3" s="1"/>
  <c r="J81" i="3"/>
  <c r="I84" i="3"/>
  <c r="K84" i="3" s="1"/>
  <c r="M84" i="3" s="1"/>
  <c r="O84" i="3" s="1"/>
  <c r="J85" i="3"/>
  <c r="I88" i="3"/>
  <c r="K88" i="3" s="1"/>
  <c r="M88" i="3" s="1"/>
  <c r="O88" i="3" s="1"/>
  <c r="J89" i="3"/>
  <c r="I92" i="3"/>
  <c r="J93" i="3"/>
  <c r="I96" i="3"/>
  <c r="K96" i="3" s="1"/>
  <c r="M96" i="3" s="1"/>
  <c r="O96" i="3" s="1"/>
  <c r="J97" i="3"/>
  <c r="I100" i="3"/>
  <c r="K100" i="3" s="1"/>
  <c r="M100" i="3" s="1"/>
  <c r="O100" i="3" s="1"/>
  <c r="J101" i="3"/>
  <c r="I104" i="3"/>
  <c r="K104" i="3" s="1"/>
  <c r="M104" i="3" s="1"/>
  <c r="O104" i="3" s="1"/>
  <c r="J105" i="3"/>
  <c r="I108" i="3"/>
  <c r="K108" i="3" s="1"/>
  <c r="M108" i="3" s="1"/>
  <c r="O108" i="3" s="1"/>
  <c r="J109" i="3"/>
  <c r="I112" i="3"/>
  <c r="K112" i="3" s="1"/>
  <c r="M112" i="3" s="1"/>
  <c r="O112" i="3" s="1"/>
  <c r="J113" i="3"/>
  <c r="I116" i="3"/>
  <c r="K116" i="3" s="1"/>
  <c r="M116" i="3" s="1"/>
  <c r="O116" i="3" s="1"/>
  <c r="J117" i="3"/>
  <c r="I120" i="3"/>
  <c r="K120" i="3" s="1"/>
  <c r="M120" i="3" s="1"/>
  <c r="O120" i="3" s="1"/>
  <c r="J121" i="3"/>
  <c r="I124" i="3"/>
  <c r="J125" i="3"/>
  <c r="I128" i="3"/>
  <c r="K128" i="3" s="1"/>
  <c r="M128" i="3" s="1"/>
  <c r="O128" i="3" s="1"/>
  <c r="J129" i="3"/>
  <c r="J133" i="3"/>
  <c r="L133" i="3" s="1"/>
  <c r="N133" i="3" s="1"/>
  <c r="I134" i="3"/>
  <c r="J138" i="3"/>
  <c r="L138" i="3" s="1"/>
  <c r="N138" i="3" s="1"/>
  <c r="J139" i="3"/>
  <c r="L139" i="3" s="1"/>
  <c r="N139" i="3" s="1"/>
  <c r="F140" i="3"/>
  <c r="I140" i="3"/>
  <c r="I145" i="3"/>
  <c r="K145" i="3" s="1"/>
  <c r="M145" i="3" s="1"/>
  <c r="O145" i="3" s="1"/>
  <c r="J149" i="3"/>
  <c r="L149" i="3" s="1"/>
  <c r="N149" i="3" s="1"/>
  <c r="I150" i="3"/>
  <c r="K150" i="3" s="1"/>
  <c r="M150" i="3" s="1"/>
  <c r="O150" i="3" s="1"/>
  <c r="J154" i="3"/>
  <c r="J155" i="3"/>
  <c r="L155" i="3" s="1"/>
  <c r="N155" i="3" s="1"/>
  <c r="F156" i="3"/>
  <c r="I156" i="3"/>
  <c r="I161" i="3"/>
  <c r="K161" i="3" s="1"/>
  <c r="M161" i="3" s="1"/>
  <c r="O161" i="3" s="1"/>
  <c r="J165" i="3"/>
  <c r="L165" i="3" s="1"/>
  <c r="N165" i="3" s="1"/>
  <c r="I166" i="3"/>
  <c r="J170" i="3"/>
  <c r="L170" i="3" s="1"/>
  <c r="N170" i="3" s="1"/>
  <c r="F172" i="3"/>
  <c r="I172" i="3"/>
  <c r="J173" i="3"/>
  <c r="L173" i="3" s="1"/>
  <c r="N173" i="3" s="1"/>
  <c r="J178" i="3"/>
  <c r="L178" i="3" s="1"/>
  <c r="N178" i="3" s="1"/>
  <c r="F180" i="3"/>
  <c r="I180" i="3"/>
  <c r="K181" i="3"/>
  <c r="M181" i="3" s="1"/>
  <c r="J181" i="3"/>
  <c r="L181" i="3" s="1"/>
  <c r="N181" i="3" s="1"/>
  <c r="J186" i="3"/>
  <c r="L186" i="3" s="1"/>
  <c r="N186" i="3" s="1"/>
  <c r="F188" i="3"/>
  <c r="I188" i="3"/>
  <c r="K189" i="3"/>
  <c r="M189" i="3" s="1"/>
  <c r="J189" i="3"/>
  <c r="L189" i="3" s="1"/>
  <c r="N189" i="3" s="1"/>
  <c r="J194" i="3"/>
  <c r="L194" i="3" s="1"/>
  <c r="N194" i="3" s="1"/>
  <c r="F196" i="3"/>
  <c r="I196" i="3"/>
  <c r="K197" i="3"/>
  <c r="M197" i="3" s="1"/>
  <c r="J197" i="3"/>
  <c r="L197" i="3" s="1"/>
  <c r="N197" i="3" s="1"/>
  <c r="J202" i="3"/>
  <c r="L202" i="3" s="1"/>
  <c r="N202" i="3" s="1"/>
  <c r="K209" i="3"/>
  <c r="M209" i="3" s="1"/>
  <c r="J210" i="3"/>
  <c r="L210" i="3" s="1"/>
  <c r="N210" i="3" s="1"/>
  <c r="K217" i="3"/>
  <c r="M217" i="3" s="1"/>
  <c r="J218" i="3"/>
  <c r="L218" i="3" s="1"/>
  <c r="N218" i="3" s="1"/>
  <c r="K225" i="3"/>
  <c r="M225" i="3" s="1"/>
  <c r="J226" i="3"/>
  <c r="L226" i="3" s="1"/>
  <c r="N226" i="3" s="1"/>
  <c r="L233" i="3"/>
  <c r="N233" i="3" s="1"/>
  <c r="K233" i="3"/>
  <c r="M233" i="3" s="1"/>
  <c r="J234" i="3"/>
  <c r="L234" i="3" s="1"/>
  <c r="N234" i="3" s="1"/>
  <c r="K241" i="3"/>
  <c r="M241" i="3" s="1"/>
  <c r="J242" i="3"/>
  <c r="K249" i="3"/>
  <c r="M249" i="3" s="1"/>
  <c r="J250" i="3"/>
  <c r="L250" i="3" s="1"/>
  <c r="N250" i="3" s="1"/>
  <c r="I260" i="3"/>
  <c r="K260" i="3" s="1"/>
  <c r="M260" i="3" s="1"/>
  <c r="O260" i="3" s="1"/>
  <c r="I268" i="3"/>
  <c r="K268" i="3" s="1"/>
  <c r="M268" i="3" s="1"/>
  <c r="O268" i="3" s="1"/>
  <c r="I276" i="3"/>
  <c r="K276" i="3" s="1"/>
  <c r="M276" i="3" s="1"/>
  <c r="O276" i="3" s="1"/>
  <c r="I284" i="3"/>
  <c r="K284" i="3" s="1"/>
  <c r="M284" i="3" s="1"/>
  <c r="O284" i="3" s="1"/>
  <c r="I292" i="3"/>
  <c r="K292" i="3" s="1"/>
  <c r="M292" i="3" s="1"/>
  <c r="O292" i="3" s="1"/>
  <c r="K300" i="3"/>
  <c r="M300" i="3" s="1"/>
  <c r="L301" i="3"/>
  <c r="N301" i="3" s="1"/>
  <c r="L312" i="3"/>
  <c r="N312" i="3" s="1"/>
  <c r="K312" i="3"/>
  <c r="M312" i="3" s="1"/>
  <c r="O312" i="3" s="1"/>
  <c r="K267" i="3"/>
  <c r="M267" i="3" s="1"/>
  <c r="K275" i="3"/>
  <c r="M275" i="3" s="1"/>
  <c r="K283" i="3"/>
  <c r="M283" i="3" s="1"/>
  <c r="K299" i="3"/>
  <c r="M299" i="3" s="1"/>
  <c r="L309" i="3"/>
  <c r="N309" i="3" s="1"/>
  <c r="K309" i="3"/>
  <c r="M309" i="3" s="1"/>
  <c r="O309" i="3" s="1"/>
  <c r="L313" i="3"/>
  <c r="N313" i="3" s="1"/>
  <c r="K319" i="3"/>
  <c r="M319" i="3" s="1"/>
  <c r="L325" i="3"/>
  <c r="N325" i="3" s="1"/>
  <c r="K325" i="3"/>
  <c r="M325" i="3" s="1"/>
  <c r="L334" i="3"/>
  <c r="N334" i="3" s="1"/>
  <c r="K334" i="3"/>
  <c r="M334" i="3" s="1"/>
  <c r="K343" i="3"/>
  <c r="M343" i="3" s="1"/>
  <c r="L352" i="3"/>
  <c r="N352" i="3" s="1"/>
  <c r="K352" i="3"/>
  <c r="M352" i="3" s="1"/>
  <c r="K357" i="3"/>
  <c r="M357" i="3" s="1"/>
  <c r="K367" i="3"/>
  <c r="M367" i="3" s="1"/>
  <c r="L367" i="3"/>
  <c r="N367" i="3" s="1"/>
  <c r="L378" i="3"/>
  <c r="N378" i="3" s="1"/>
  <c r="L410" i="3"/>
  <c r="N410" i="3" s="1"/>
  <c r="K410" i="3"/>
  <c r="M410" i="3" s="1"/>
  <c r="O410" i="3" s="1"/>
  <c r="F262" i="3"/>
  <c r="F270" i="3"/>
  <c r="F278" i="3"/>
  <c r="F286" i="3"/>
  <c r="F294" i="3"/>
  <c r="F302" i="3"/>
  <c r="K310" i="3"/>
  <c r="M310" i="3" s="1"/>
  <c r="O310" i="3" s="1"/>
  <c r="K311" i="3"/>
  <c r="M311" i="3" s="1"/>
  <c r="L317" i="3"/>
  <c r="N317" i="3" s="1"/>
  <c r="K317" i="3"/>
  <c r="M317" i="3" s="1"/>
  <c r="L318" i="3"/>
  <c r="N318" i="3" s="1"/>
  <c r="K324" i="3"/>
  <c r="M324" i="3" s="1"/>
  <c r="L329" i="3"/>
  <c r="N329" i="3" s="1"/>
  <c r="K329" i="3"/>
  <c r="M329" i="3" s="1"/>
  <c r="O329" i="3" s="1"/>
  <c r="L333" i="3"/>
  <c r="N333" i="3" s="1"/>
  <c r="K333" i="3"/>
  <c r="M333" i="3" s="1"/>
  <c r="O333" i="3" s="1"/>
  <c r="L342" i="3"/>
  <c r="N342" i="3" s="1"/>
  <c r="K342" i="3"/>
  <c r="M342" i="3" s="1"/>
  <c r="O342" i="3" s="1"/>
  <c r="K351" i="3"/>
  <c r="M351" i="3" s="1"/>
  <c r="L351" i="3"/>
  <c r="N351" i="3" s="1"/>
  <c r="F255" i="3"/>
  <c r="K256" i="3"/>
  <c r="M256" i="3" s="1"/>
  <c r="F263" i="3"/>
  <c r="L264" i="3"/>
  <c r="N264" i="3" s="1"/>
  <c r="K264" i="3"/>
  <c r="M264" i="3" s="1"/>
  <c r="O264" i="3" s="1"/>
  <c r="F271" i="3"/>
  <c r="L272" i="3"/>
  <c r="N272" i="3" s="1"/>
  <c r="F279" i="3"/>
  <c r="L280" i="3"/>
  <c r="N280" i="3" s="1"/>
  <c r="K280" i="3"/>
  <c r="M280" i="3" s="1"/>
  <c r="O280" i="3" s="1"/>
  <c r="F287" i="3"/>
  <c r="K288" i="3"/>
  <c r="M288" i="3" s="1"/>
  <c r="F295" i="3"/>
  <c r="F303" i="3"/>
  <c r="L304" i="3"/>
  <c r="N304" i="3" s="1"/>
  <c r="L320" i="3"/>
  <c r="N320" i="3" s="1"/>
  <c r="K327" i="3"/>
  <c r="M327" i="3" s="1"/>
  <c r="L337" i="3"/>
  <c r="N337" i="3" s="1"/>
  <c r="K337" i="3"/>
  <c r="M337" i="3" s="1"/>
  <c r="L341" i="3"/>
  <c r="N341" i="3" s="1"/>
  <c r="K341" i="3"/>
  <c r="M341" i="3" s="1"/>
  <c r="L350" i="3"/>
  <c r="N350" i="3" s="1"/>
  <c r="K350" i="3"/>
  <c r="M350" i="3" s="1"/>
  <c r="L394" i="3"/>
  <c r="N394" i="3" s="1"/>
  <c r="K394" i="3"/>
  <c r="M394" i="3" s="1"/>
  <c r="F306" i="3"/>
  <c r="F314" i="3"/>
  <c r="F322" i="3"/>
  <c r="L328" i="3"/>
  <c r="N328" i="3" s="1"/>
  <c r="K328" i="3"/>
  <c r="M328" i="3" s="1"/>
  <c r="O328" i="3" s="1"/>
  <c r="L336" i="3"/>
  <c r="N336" i="3" s="1"/>
  <c r="K336" i="3"/>
  <c r="M336" i="3" s="1"/>
  <c r="O336" i="3" s="1"/>
  <c r="L344" i="3"/>
  <c r="N344" i="3" s="1"/>
  <c r="K344" i="3"/>
  <c r="M344" i="3" s="1"/>
  <c r="O344" i="3" s="1"/>
  <c r="L353" i="3"/>
  <c r="N353" i="3" s="1"/>
  <c r="K353" i="3"/>
  <c r="M353" i="3" s="1"/>
  <c r="O353" i="3" s="1"/>
  <c r="L354" i="3"/>
  <c r="N354" i="3" s="1"/>
  <c r="K354" i="3"/>
  <c r="M354" i="3" s="1"/>
  <c r="O354" i="3" s="1"/>
  <c r="K356" i="3"/>
  <c r="M356" i="3" s="1"/>
  <c r="K361" i="3"/>
  <c r="M361" i="3" s="1"/>
  <c r="L361" i="3"/>
  <c r="N361" i="3" s="1"/>
  <c r="L369" i="3"/>
  <c r="N369" i="3" s="1"/>
  <c r="K369" i="3"/>
  <c r="M369" i="3" s="1"/>
  <c r="O369" i="3" s="1"/>
  <c r="L370" i="3"/>
  <c r="N370" i="3" s="1"/>
  <c r="K370" i="3"/>
  <c r="M370" i="3" s="1"/>
  <c r="O370" i="3" s="1"/>
  <c r="L372" i="3"/>
  <c r="N372" i="3" s="1"/>
  <c r="K418" i="3"/>
  <c r="M418" i="3" s="1"/>
  <c r="F307" i="3"/>
  <c r="L308" i="3"/>
  <c r="N308" i="3" s="1"/>
  <c r="K308" i="3"/>
  <c r="M308" i="3" s="1"/>
  <c r="O308" i="3" s="1"/>
  <c r="F315" i="3"/>
  <c r="K318" i="3"/>
  <c r="M318" i="3" s="1"/>
  <c r="O318" i="3" s="1"/>
  <c r="F323" i="3"/>
  <c r="F330" i="3"/>
  <c r="K331" i="3"/>
  <c r="M331" i="3" s="1"/>
  <c r="L331" i="3"/>
  <c r="N331" i="3" s="1"/>
  <c r="F338" i="3"/>
  <c r="K339" i="3"/>
  <c r="M339" i="3" s="1"/>
  <c r="O339" i="3" s="1"/>
  <c r="L339" i="3"/>
  <c r="N339" i="3" s="1"/>
  <c r="F346" i="3"/>
  <c r="K347" i="3"/>
  <c r="M347" i="3" s="1"/>
  <c r="L347" i="3"/>
  <c r="N347" i="3" s="1"/>
  <c r="K355" i="3"/>
  <c r="M355" i="3" s="1"/>
  <c r="L355" i="3"/>
  <c r="N355" i="3" s="1"/>
  <c r="L357" i="3"/>
  <c r="N357" i="3" s="1"/>
  <c r="K359" i="3"/>
  <c r="M359" i="3" s="1"/>
  <c r="O359" i="3" s="1"/>
  <c r="L359" i="3"/>
  <c r="N359" i="3" s="1"/>
  <c r="K363" i="3"/>
  <c r="M363" i="3" s="1"/>
  <c r="O363" i="3" s="1"/>
  <c r="L363" i="3"/>
  <c r="N363" i="3" s="1"/>
  <c r="L364" i="3"/>
  <c r="N364" i="3" s="1"/>
  <c r="F365" i="3"/>
  <c r="L371" i="3"/>
  <c r="N371" i="3" s="1"/>
  <c r="L373" i="3"/>
  <c r="N373" i="3" s="1"/>
  <c r="L386" i="3"/>
  <c r="N386" i="3" s="1"/>
  <c r="K386" i="3"/>
  <c r="M386" i="3" s="1"/>
  <c r="L402" i="3"/>
  <c r="N402" i="3" s="1"/>
  <c r="K402" i="3"/>
  <c r="M402" i="3" s="1"/>
  <c r="K451" i="3"/>
  <c r="M451" i="3" s="1"/>
  <c r="O451" i="3" s="1"/>
  <c r="L451" i="3"/>
  <c r="N451" i="3" s="1"/>
  <c r="K313" i="3"/>
  <c r="M313" i="3" s="1"/>
  <c r="O313" i="3" s="1"/>
  <c r="L321" i="3"/>
  <c r="N321" i="3" s="1"/>
  <c r="K321" i="3"/>
  <c r="M321" i="3" s="1"/>
  <c r="O321" i="3" s="1"/>
  <c r="K332" i="3"/>
  <c r="M332" i="3" s="1"/>
  <c r="K340" i="3"/>
  <c r="M340" i="3" s="1"/>
  <c r="K348" i="3"/>
  <c r="M348" i="3" s="1"/>
  <c r="L360" i="3"/>
  <c r="N360" i="3" s="1"/>
  <c r="K360" i="3"/>
  <c r="M360" i="3" s="1"/>
  <c r="O360" i="3" s="1"/>
  <c r="L429" i="3"/>
  <c r="N429" i="3" s="1"/>
  <c r="F366" i="3"/>
  <c r="L375" i="3"/>
  <c r="N375" i="3" s="1"/>
  <c r="K375" i="3"/>
  <c r="M375" i="3" s="1"/>
  <c r="O375" i="3" s="1"/>
  <c r="L379" i="3"/>
  <c r="N379" i="3" s="1"/>
  <c r="L383" i="3"/>
  <c r="N383" i="3" s="1"/>
  <c r="K383" i="3"/>
  <c r="M383" i="3" s="1"/>
  <c r="L387" i="3"/>
  <c r="N387" i="3" s="1"/>
  <c r="L391" i="3"/>
  <c r="N391" i="3" s="1"/>
  <c r="K391" i="3"/>
  <c r="M391" i="3" s="1"/>
  <c r="O391" i="3" s="1"/>
  <c r="L395" i="3"/>
  <c r="N395" i="3" s="1"/>
  <c r="L399" i="3"/>
  <c r="N399" i="3" s="1"/>
  <c r="K399" i="3"/>
  <c r="M399" i="3" s="1"/>
  <c r="L403" i="3"/>
  <c r="N403" i="3" s="1"/>
  <c r="L407" i="3"/>
  <c r="N407" i="3" s="1"/>
  <c r="K407" i="3"/>
  <c r="M407" i="3" s="1"/>
  <c r="O407" i="3" s="1"/>
  <c r="L411" i="3"/>
  <c r="N411" i="3" s="1"/>
  <c r="L415" i="3"/>
  <c r="N415" i="3" s="1"/>
  <c r="K415" i="3"/>
  <c r="M415" i="3" s="1"/>
  <c r="L437" i="3"/>
  <c r="N437" i="3" s="1"/>
  <c r="K443" i="3"/>
  <c r="M443" i="3" s="1"/>
  <c r="O443" i="3" s="1"/>
  <c r="L457" i="3"/>
  <c r="N457" i="3" s="1"/>
  <c r="K457" i="3"/>
  <c r="M457" i="3" s="1"/>
  <c r="O457" i="3" s="1"/>
  <c r="F362" i="3"/>
  <c r="F374" i="3"/>
  <c r="K376" i="3"/>
  <c r="M376" i="3" s="1"/>
  <c r="O376" i="3" s="1"/>
  <c r="K377" i="3"/>
  <c r="M377" i="3" s="1"/>
  <c r="O377" i="3" s="1"/>
  <c r="L377" i="3"/>
  <c r="N377" i="3" s="1"/>
  <c r="L382" i="3"/>
  <c r="N382" i="3" s="1"/>
  <c r="K382" i="3"/>
  <c r="M382" i="3" s="1"/>
  <c r="K384" i="3"/>
  <c r="M384" i="3" s="1"/>
  <c r="O384" i="3" s="1"/>
  <c r="K385" i="3"/>
  <c r="M385" i="3" s="1"/>
  <c r="L385" i="3"/>
  <c r="N385" i="3" s="1"/>
  <c r="L390" i="3"/>
  <c r="N390" i="3" s="1"/>
  <c r="K390" i="3"/>
  <c r="M390" i="3" s="1"/>
  <c r="O390" i="3" s="1"/>
  <c r="K392" i="3"/>
  <c r="M392" i="3" s="1"/>
  <c r="O392" i="3" s="1"/>
  <c r="K393" i="3"/>
  <c r="M393" i="3" s="1"/>
  <c r="O393" i="3" s="1"/>
  <c r="L393" i="3"/>
  <c r="N393" i="3" s="1"/>
  <c r="L398" i="3"/>
  <c r="N398" i="3" s="1"/>
  <c r="K400" i="3"/>
  <c r="M400" i="3" s="1"/>
  <c r="O400" i="3" s="1"/>
  <c r="L401" i="3"/>
  <c r="N401" i="3" s="1"/>
  <c r="K406" i="3"/>
  <c r="M406" i="3" s="1"/>
  <c r="K408" i="3"/>
  <c r="M408" i="3" s="1"/>
  <c r="O408" i="3" s="1"/>
  <c r="K409" i="3"/>
  <c r="M409" i="3" s="1"/>
  <c r="O409" i="3" s="1"/>
  <c r="L409" i="3"/>
  <c r="N409" i="3" s="1"/>
  <c r="L414" i="3"/>
  <c r="N414" i="3" s="1"/>
  <c r="K414" i="3"/>
  <c r="M414" i="3" s="1"/>
  <c r="K416" i="3"/>
  <c r="M416" i="3" s="1"/>
  <c r="O416" i="3" s="1"/>
  <c r="K417" i="3"/>
  <c r="M417" i="3" s="1"/>
  <c r="L417" i="3"/>
  <c r="N417" i="3" s="1"/>
  <c r="K427" i="3"/>
  <c r="M427" i="3" s="1"/>
  <c r="O427" i="3" s="1"/>
  <c r="L427" i="3"/>
  <c r="N427" i="3" s="1"/>
  <c r="L435" i="3"/>
  <c r="N435" i="3" s="1"/>
  <c r="K435" i="3"/>
  <c r="M435" i="3" s="1"/>
  <c r="L449" i="3"/>
  <c r="N449" i="3" s="1"/>
  <c r="K449" i="3"/>
  <c r="M449" i="3" s="1"/>
  <c r="F358" i="3"/>
  <c r="L419" i="3"/>
  <c r="N419" i="3" s="1"/>
  <c r="K419" i="3"/>
  <c r="M419" i="3" s="1"/>
  <c r="K421" i="3"/>
  <c r="M421" i="3" s="1"/>
  <c r="K425" i="3"/>
  <c r="M425" i="3" s="1"/>
  <c r="O425" i="3" s="1"/>
  <c r="L425" i="3"/>
  <c r="N425" i="3" s="1"/>
  <c r="L426" i="3"/>
  <c r="N426" i="3" s="1"/>
  <c r="K429" i="3"/>
  <c r="M429" i="3" s="1"/>
  <c r="O429" i="3" s="1"/>
  <c r="K430" i="3"/>
  <c r="M430" i="3" s="1"/>
  <c r="K431" i="3"/>
  <c r="M431" i="3" s="1"/>
  <c r="F432" i="3"/>
  <c r="L441" i="3"/>
  <c r="N441" i="3" s="1"/>
  <c r="K441" i="3"/>
  <c r="M441" i="3" s="1"/>
  <c r="K459" i="3"/>
  <c r="M459" i="3" s="1"/>
  <c r="O459" i="3" s="1"/>
  <c r="L459" i="3"/>
  <c r="N459" i="3" s="1"/>
  <c r="L461" i="3"/>
  <c r="N461" i="3" s="1"/>
  <c r="F380" i="3"/>
  <c r="F388" i="3"/>
  <c r="F396" i="3"/>
  <c r="F404" i="3"/>
  <c r="F412" i="3"/>
  <c r="K422" i="3"/>
  <c r="M422" i="3" s="1"/>
  <c r="K433" i="3"/>
  <c r="M433" i="3" s="1"/>
  <c r="L433" i="3"/>
  <c r="N433" i="3" s="1"/>
  <c r="K440" i="3"/>
  <c r="M440" i="3" s="1"/>
  <c r="L445" i="3"/>
  <c r="N445" i="3" s="1"/>
  <c r="K448" i="3"/>
  <c r="M448" i="3" s="1"/>
  <c r="O448" i="3" s="1"/>
  <c r="K453" i="3"/>
  <c r="M453" i="3" s="1"/>
  <c r="K456" i="3"/>
  <c r="M456" i="3" s="1"/>
  <c r="L460" i="3"/>
  <c r="N460" i="3" s="1"/>
  <c r="K460" i="3"/>
  <c r="M460" i="3" s="1"/>
  <c r="L465" i="3"/>
  <c r="N465" i="3" s="1"/>
  <c r="K465" i="3"/>
  <c r="M465" i="3" s="1"/>
  <c r="L468" i="3"/>
  <c r="N468" i="3" s="1"/>
  <c r="K468" i="3"/>
  <c r="M468" i="3" s="1"/>
  <c r="L469" i="3"/>
  <c r="N469" i="3" s="1"/>
  <c r="K476" i="3"/>
  <c r="M476" i="3" s="1"/>
  <c r="L476" i="3"/>
  <c r="N476" i="3" s="1"/>
  <c r="K502" i="3"/>
  <c r="M502" i="3" s="1"/>
  <c r="L502" i="3"/>
  <c r="N502" i="3" s="1"/>
  <c r="F381" i="3"/>
  <c r="F389" i="3"/>
  <c r="F397" i="3"/>
  <c r="F405" i="3"/>
  <c r="F413" i="3"/>
  <c r="F420" i="3"/>
  <c r="F436" i="3"/>
  <c r="L438" i="3"/>
  <c r="N438" i="3" s="1"/>
  <c r="L439" i="3"/>
  <c r="N439" i="3" s="1"/>
  <c r="L440" i="3"/>
  <c r="N440" i="3" s="1"/>
  <c r="L446" i="3"/>
  <c r="N446" i="3" s="1"/>
  <c r="L447" i="3"/>
  <c r="N447" i="3" s="1"/>
  <c r="L448" i="3"/>
  <c r="N448" i="3" s="1"/>
  <c r="L454" i="3"/>
  <c r="N454" i="3" s="1"/>
  <c r="L456" i="3"/>
  <c r="N456" i="3" s="1"/>
  <c r="L434" i="3"/>
  <c r="N434" i="3" s="1"/>
  <c r="K434" i="3"/>
  <c r="M434" i="3" s="1"/>
  <c r="O434" i="3" s="1"/>
  <c r="L442" i="3"/>
  <c r="N442" i="3" s="1"/>
  <c r="K442" i="3"/>
  <c r="M442" i="3" s="1"/>
  <c r="O442" i="3" s="1"/>
  <c r="L450" i="3"/>
  <c r="N450" i="3" s="1"/>
  <c r="K450" i="3"/>
  <c r="M450" i="3" s="1"/>
  <c r="O450" i="3" s="1"/>
  <c r="L458" i="3"/>
  <c r="N458" i="3" s="1"/>
  <c r="K458" i="3"/>
  <c r="M458" i="3" s="1"/>
  <c r="O458" i="3" s="1"/>
  <c r="F428" i="3"/>
  <c r="F444" i="3"/>
  <c r="K447" i="3"/>
  <c r="M447" i="3" s="1"/>
  <c r="O447" i="3" s="1"/>
  <c r="F452" i="3"/>
  <c r="K466" i="3"/>
  <c r="M466" i="3" s="1"/>
  <c r="O466" i="3" s="1"/>
  <c r="K467" i="3"/>
  <c r="M467" i="3" s="1"/>
  <c r="L467" i="3"/>
  <c r="N467" i="3" s="1"/>
  <c r="L486" i="3"/>
  <c r="N486" i="3" s="1"/>
  <c r="K492" i="3"/>
  <c r="M492" i="3" s="1"/>
  <c r="O492" i="3" s="1"/>
  <c r="L492" i="3"/>
  <c r="N492" i="3" s="1"/>
  <c r="K495" i="3"/>
  <c r="M495" i="3" s="1"/>
  <c r="O495" i="3" s="1"/>
  <c r="K499" i="3"/>
  <c r="M499" i="3" s="1"/>
  <c r="K500" i="3"/>
  <c r="M500" i="3" s="1"/>
  <c r="L500" i="3"/>
  <c r="N500" i="3" s="1"/>
  <c r="K506" i="3"/>
  <c r="M506" i="3" s="1"/>
  <c r="L506" i="3"/>
  <c r="N506" i="3" s="1"/>
  <c r="F424" i="3"/>
  <c r="F455" i="3"/>
  <c r="K474" i="3"/>
  <c r="M474" i="3" s="1"/>
  <c r="K496" i="3"/>
  <c r="M496" i="3" s="1"/>
  <c r="L497" i="3"/>
  <c r="N497" i="3" s="1"/>
  <c r="K497" i="3"/>
  <c r="M497" i="3" s="1"/>
  <c r="L487" i="3"/>
  <c r="N487" i="3" s="1"/>
  <c r="K487" i="3"/>
  <c r="M487" i="3" s="1"/>
  <c r="K488" i="3"/>
  <c r="M488" i="3" s="1"/>
  <c r="O488" i="3" s="1"/>
  <c r="L488" i="3"/>
  <c r="N488" i="3" s="1"/>
  <c r="K508" i="3"/>
  <c r="M508" i="3" s="1"/>
  <c r="O508" i="3" s="1"/>
  <c r="F462" i="3"/>
  <c r="F470" i="3"/>
  <c r="L472" i="3"/>
  <c r="N472" i="3" s="1"/>
  <c r="F478" i="3"/>
  <c r="K494" i="3"/>
  <c r="M494" i="3" s="1"/>
  <c r="O494" i="3" s="1"/>
  <c r="L494" i="3"/>
  <c r="N494" i="3" s="1"/>
  <c r="L495" i="3"/>
  <c r="N495" i="3" s="1"/>
  <c r="L503" i="3"/>
  <c r="N503" i="3" s="1"/>
  <c r="K503" i="3"/>
  <c r="M503" i="3" s="1"/>
  <c r="O503" i="3" s="1"/>
  <c r="K504" i="3"/>
  <c r="M504" i="3" s="1"/>
  <c r="L504" i="3"/>
  <c r="N504" i="3" s="1"/>
  <c r="F463" i="3"/>
  <c r="L464" i="3"/>
  <c r="N464" i="3" s="1"/>
  <c r="K464" i="3"/>
  <c r="M464" i="3" s="1"/>
  <c r="F471" i="3"/>
  <c r="L474" i="3"/>
  <c r="N474" i="3" s="1"/>
  <c r="K475" i="3"/>
  <c r="M475" i="3" s="1"/>
  <c r="O475" i="3" s="1"/>
  <c r="L475" i="3"/>
  <c r="N475" i="3" s="1"/>
  <c r="K480" i="3"/>
  <c r="M480" i="3" s="1"/>
  <c r="L481" i="3"/>
  <c r="N481" i="3" s="1"/>
  <c r="K481" i="3"/>
  <c r="M481" i="3" s="1"/>
  <c r="K483" i="3"/>
  <c r="M483" i="3" s="1"/>
  <c r="F484" i="3"/>
  <c r="K486" i="3"/>
  <c r="M486" i="3" s="1"/>
  <c r="O486" i="3" s="1"/>
  <c r="K490" i="3"/>
  <c r="M490" i="3" s="1"/>
  <c r="O490" i="3" s="1"/>
  <c r="L490" i="3"/>
  <c r="N490" i="3" s="1"/>
  <c r="K510" i="3"/>
  <c r="M510" i="3" s="1"/>
  <c r="O510" i="3" s="1"/>
  <c r="L510" i="3"/>
  <c r="N510" i="3" s="1"/>
  <c r="L511" i="3"/>
  <c r="N511" i="3" s="1"/>
  <c r="K482" i="3"/>
  <c r="M482" i="3" s="1"/>
  <c r="L482" i="3"/>
  <c r="N482" i="3" s="1"/>
  <c r="K491" i="3"/>
  <c r="M491" i="3" s="1"/>
  <c r="F493" i="3"/>
  <c r="K498" i="3"/>
  <c r="M498" i="3" s="1"/>
  <c r="F509" i="3"/>
  <c r="F477" i="3"/>
  <c r="F489" i="3"/>
  <c r="F505" i="3"/>
  <c r="F512" i="3"/>
  <c r="F485" i="3"/>
  <c r="F501" i="3"/>
  <c r="O38" i="3" l="1"/>
  <c r="O173" i="3"/>
  <c r="O202" i="3"/>
  <c r="O210" i="3"/>
  <c r="O218" i="3"/>
  <c r="O226" i="3"/>
  <c r="O234" i="3"/>
  <c r="O250" i="3"/>
  <c r="O257" i="3"/>
  <c r="O281" i="3"/>
  <c r="O289" i="3"/>
  <c r="O153" i="3"/>
  <c r="O149" i="3"/>
  <c r="O42" i="3"/>
  <c r="O349" i="3"/>
  <c r="O142" i="3"/>
  <c r="O126" i="3"/>
  <c r="O118" i="3"/>
  <c r="O74" i="3"/>
  <c r="O18" i="3"/>
  <c r="O46" i="3"/>
  <c r="O30" i="3"/>
  <c r="O138" i="3"/>
  <c r="O57" i="3"/>
  <c r="O106" i="3"/>
  <c r="O94" i="3"/>
  <c r="O86" i="3"/>
  <c r="O26" i="3"/>
  <c r="O143" i="3"/>
  <c r="O159" i="3"/>
  <c r="O183" i="3"/>
  <c r="O191" i="3"/>
  <c r="O199" i="3"/>
  <c r="O198" i="3"/>
  <c r="O206" i="3"/>
  <c r="O269" i="3"/>
  <c r="O277" i="3"/>
  <c r="O285" i="3"/>
  <c r="O473" i="3"/>
  <c r="O158" i="3"/>
  <c r="O58" i="3"/>
  <c r="L509" i="3"/>
  <c r="N509" i="3" s="1"/>
  <c r="K509" i="3"/>
  <c r="M509" i="3" s="1"/>
  <c r="L346" i="3"/>
  <c r="N346" i="3" s="1"/>
  <c r="K346" i="3"/>
  <c r="M346" i="3" s="1"/>
  <c r="O346" i="3" s="1"/>
  <c r="K307" i="3"/>
  <c r="M307" i="3" s="1"/>
  <c r="O307" i="3" s="1"/>
  <c r="L307" i="3"/>
  <c r="N307" i="3" s="1"/>
  <c r="L302" i="3"/>
  <c r="N302" i="3" s="1"/>
  <c r="K302" i="3"/>
  <c r="M302" i="3" s="1"/>
  <c r="O302" i="3" s="1"/>
  <c r="O299" i="3"/>
  <c r="O197" i="3"/>
  <c r="L195" i="3"/>
  <c r="N195" i="3" s="1"/>
  <c r="K195" i="3"/>
  <c r="M195" i="3" s="1"/>
  <c r="O195" i="3" s="1"/>
  <c r="O155" i="3"/>
  <c r="O170" i="3"/>
  <c r="O194" i="3"/>
  <c r="O229" i="3"/>
  <c r="L148" i="3"/>
  <c r="N148" i="3" s="1"/>
  <c r="K148" i="3"/>
  <c r="M148" i="3" s="1"/>
  <c r="O335" i="3"/>
  <c r="O146" i="3"/>
  <c r="O110" i="3"/>
  <c r="L85" i="3"/>
  <c r="N85" i="3" s="1"/>
  <c r="K85" i="3"/>
  <c r="M85" i="3" s="1"/>
  <c r="O85" i="3" s="1"/>
  <c r="O238" i="3"/>
  <c r="O298" i="3"/>
  <c r="O165" i="3"/>
  <c r="O114" i="3"/>
  <c r="O49" i="3"/>
  <c r="O174" i="3"/>
  <c r="O62" i="3"/>
  <c r="L505" i="3"/>
  <c r="N505" i="3" s="1"/>
  <c r="K505" i="3"/>
  <c r="M505" i="3" s="1"/>
  <c r="O505" i="3" s="1"/>
  <c r="L493" i="3"/>
  <c r="N493" i="3" s="1"/>
  <c r="K493" i="3"/>
  <c r="M493" i="3" s="1"/>
  <c r="O482" i="3"/>
  <c r="O483" i="3"/>
  <c r="K463" i="3"/>
  <c r="M463" i="3" s="1"/>
  <c r="O463" i="3" s="1"/>
  <c r="L463" i="3"/>
  <c r="N463" i="3" s="1"/>
  <c r="K478" i="3"/>
  <c r="M478" i="3" s="1"/>
  <c r="L478" i="3"/>
  <c r="N478" i="3" s="1"/>
  <c r="L462" i="3"/>
  <c r="N462" i="3" s="1"/>
  <c r="K462" i="3"/>
  <c r="M462" i="3" s="1"/>
  <c r="O487" i="3"/>
  <c r="L424" i="3"/>
  <c r="N424" i="3" s="1"/>
  <c r="K424" i="3"/>
  <c r="M424" i="3" s="1"/>
  <c r="O424" i="3" s="1"/>
  <c r="O500" i="3"/>
  <c r="O467" i="3"/>
  <c r="K444" i="3"/>
  <c r="M444" i="3" s="1"/>
  <c r="L444" i="3"/>
  <c r="N444" i="3" s="1"/>
  <c r="K413" i="3"/>
  <c r="M413" i="3" s="1"/>
  <c r="L413" i="3"/>
  <c r="N413" i="3" s="1"/>
  <c r="K381" i="3"/>
  <c r="M381" i="3" s="1"/>
  <c r="L381" i="3"/>
  <c r="N381" i="3" s="1"/>
  <c r="O476" i="3"/>
  <c r="O465" i="3"/>
  <c r="O456" i="3"/>
  <c r="O433" i="3"/>
  <c r="L404" i="3"/>
  <c r="N404" i="3" s="1"/>
  <c r="K404" i="3"/>
  <c r="M404" i="3" s="1"/>
  <c r="O404" i="3" s="1"/>
  <c r="O441" i="3"/>
  <c r="O435" i="3"/>
  <c r="O414" i="3"/>
  <c r="O382" i="3"/>
  <c r="O415" i="3"/>
  <c r="O383" i="3"/>
  <c r="O402" i="3"/>
  <c r="O355" i="3"/>
  <c r="O331" i="3"/>
  <c r="K315" i="3"/>
  <c r="M315" i="3" s="1"/>
  <c r="O315" i="3" s="1"/>
  <c r="L315" i="3"/>
  <c r="N315" i="3" s="1"/>
  <c r="O418" i="3"/>
  <c r="O361" i="3"/>
  <c r="O394" i="3"/>
  <c r="O341" i="3"/>
  <c r="O288" i="3"/>
  <c r="K271" i="3"/>
  <c r="M271" i="3" s="1"/>
  <c r="L271" i="3"/>
  <c r="N271" i="3" s="1"/>
  <c r="O256" i="3"/>
  <c r="O351" i="3"/>
  <c r="O367" i="3"/>
  <c r="O325" i="3"/>
  <c r="O300" i="3"/>
  <c r="O249" i="3"/>
  <c r="O217" i="3"/>
  <c r="K188" i="3"/>
  <c r="M188" i="3" s="1"/>
  <c r="O188" i="3" s="1"/>
  <c r="L188" i="3"/>
  <c r="N188" i="3" s="1"/>
  <c r="K172" i="3"/>
  <c r="M172" i="3" s="1"/>
  <c r="O172" i="3" s="1"/>
  <c r="L172" i="3"/>
  <c r="N172" i="3" s="1"/>
  <c r="L247" i="3"/>
  <c r="N247" i="3" s="1"/>
  <c r="K247" i="3"/>
  <c r="M247" i="3" s="1"/>
  <c r="L239" i="3"/>
  <c r="N239" i="3" s="1"/>
  <c r="K239" i="3"/>
  <c r="M239" i="3" s="1"/>
  <c r="L231" i="3"/>
  <c r="N231" i="3" s="1"/>
  <c r="K231" i="3"/>
  <c r="M231" i="3" s="1"/>
  <c r="L223" i="3"/>
  <c r="N223" i="3" s="1"/>
  <c r="K223" i="3"/>
  <c r="M223" i="3" s="1"/>
  <c r="L215" i="3"/>
  <c r="N215" i="3" s="1"/>
  <c r="K215" i="3"/>
  <c r="M215" i="3" s="1"/>
  <c r="L207" i="3"/>
  <c r="N207" i="3" s="1"/>
  <c r="K207" i="3"/>
  <c r="M207" i="3" s="1"/>
  <c r="L171" i="3"/>
  <c r="N171" i="3" s="1"/>
  <c r="K171" i="3"/>
  <c r="M171" i="3" s="1"/>
  <c r="O237" i="3"/>
  <c r="O205" i="3"/>
  <c r="L164" i="3"/>
  <c r="N164" i="3" s="1"/>
  <c r="K164" i="3"/>
  <c r="M164" i="3" s="1"/>
  <c r="L163" i="3"/>
  <c r="N163" i="3" s="1"/>
  <c r="K163" i="3"/>
  <c r="M163" i="3" s="1"/>
  <c r="O141" i="3"/>
  <c r="L109" i="3"/>
  <c r="N109" i="3" s="1"/>
  <c r="K109" i="3"/>
  <c r="M109" i="3" s="1"/>
  <c r="O109" i="3" s="1"/>
  <c r="L77" i="3"/>
  <c r="N77" i="3" s="1"/>
  <c r="K77" i="3"/>
  <c r="M77" i="3" s="1"/>
  <c r="O77" i="3" s="1"/>
  <c r="L63" i="3"/>
  <c r="N63" i="3" s="1"/>
  <c r="K63" i="3"/>
  <c r="M63" i="3" s="1"/>
  <c r="O63" i="3" s="1"/>
  <c r="L55" i="3"/>
  <c r="N55" i="3" s="1"/>
  <c r="K55" i="3"/>
  <c r="M55" i="3" s="1"/>
  <c r="O55" i="3" s="1"/>
  <c r="L47" i="3"/>
  <c r="N47" i="3" s="1"/>
  <c r="K47" i="3"/>
  <c r="M47" i="3" s="1"/>
  <c r="O47" i="3" s="1"/>
  <c r="L39" i="3"/>
  <c r="N39" i="3" s="1"/>
  <c r="K39" i="3"/>
  <c r="M39" i="3" s="1"/>
  <c r="O39" i="3" s="1"/>
  <c r="K23" i="3"/>
  <c r="M23" i="3" s="1"/>
  <c r="L23" i="3"/>
  <c r="N23" i="3" s="1"/>
  <c r="O127" i="3"/>
  <c r="O111" i="3"/>
  <c r="O95" i="3"/>
  <c r="O79" i="3"/>
  <c r="O168" i="3"/>
  <c r="O152" i="3"/>
  <c r="O136" i="3"/>
  <c r="O131" i="3"/>
  <c r="O115" i="3"/>
  <c r="O99" i="3"/>
  <c r="O83" i="3"/>
  <c r="O67" i="3"/>
  <c r="L113" i="3"/>
  <c r="N113" i="3" s="1"/>
  <c r="K113" i="3"/>
  <c r="M113" i="3" s="1"/>
  <c r="O113" i="3" s="1"/>
  <c r="L81" i="3"/>
  <c r="N81" i="3" s="1"/>
  <c r="K81" i="3"/>
  <c r="M81" i="3" s="1"/>
  <c r="O81" i="3" s="1"/>
  <c r="K35" i="3"/>
  <c r="M35" i="3" s="1"/>
  <c r="L35" i="3"/>
  <c r="N35" i="3" s="1"/>
  <c r="K19" i="3"/>
  <c r="M19" i="3" s="1"/>
  <c r="L19" i="3"/>
  <c r="N19" i="3" s="1"/>
  <c r="O498" i="3"/>
  <c r="K484" i="3"/>
  <c r="M484" i="3" s="1"/>
  <c r="O484" i="3" s="1"/>
  <c r="L484" i="3"/>
  <c r="N484" i="3" s="1"/>
  <c r="L470" i="3"/>
  <c r="N470" i="3" s="1"/>
  <c r="K470" i="3"/>
  <c r="M470" i="3" s="1"/>
  <c r="L455" i="3"/>
  <c r="N455" i="3" s="1"/>
  <c r="K455" i="3"/>
  <c r="M455" i="3" s="1"/>
  <c r="L420" i="3"/>
  <c r="N420" i="3" s="1"/>
  <c r="K420" i="3"/>
  <c r="M420" i="3" s="1"/>
  <c r="L412" i="3"/>
  <c r="N412" i="3" s="1"/>
  <c r="K412" i="3"/>
  <c r="M412" i="3" s="1"/>
  <c r="O431" i="3"/>
  <c r="L365" i="3"/>
  <c r="N365" i="3" s="1"/>
  <c r="K365" i="3"/>
  <c r="M365" i="3" s="1"/>
  <c r="O365" i="3" s="1"/>
  <c r="L306" i="3"/>
  <c r="N306" i="3" s="1"/>
  <c r="K306" i="3"/>
  <c r="M306" i="3" s="1"/>
  <c r="O306" i="3" s="1"/>
  <c r="K295" i="3"/>
  <c r="M295" i="3" s="1"/>
  <c r="L295" i="3"/>
  <c r="N295" i="3" s="1"/>
  <c r="K263" i="3"/>
  <c r="M263" i="3" s="1"/>
  <c r="L263" i="3"/>
  <c r="N263" i="3" s="1"/>
  <c r="O324" i="3"/>
  <c r="L270" i="3"/>
  <c r="N270" i="3" s="1"/>
  <c r="K270" i="3"/>
  <c r="M270" i="3" s="1"/>
  <c r="O319" i="3"/>
  <c r="O181" i="3"/>
  <c r="K160" i="3"/>
  <c r="M160" i="3" s="1"/>
  <c r="O160" i="3" s="1"/>
  <c r="L160" i="3"/>
  <c r="N160" i="3" s="1"/>
  <c r="I513" i="3"/>
  <c r="B515" i="3" s="1"/>
  <c r="O139" i="3"/>
  <c r="O178" i="3"/>
  <c r="O137" i="3"/>
  <c r="L489" i="3"/>
  <c r="N489" i="3" s="1"/>
  <c r="K489" i="3"/>
  <c r="M489" i="3" s="1"/>
  <c r="K471" i="3"/>
  <c r="M471" i="3" s="1"/>
  <c r="O471" i="3" s="1"/>
  <c r="L471" i="3"/>
  <c r="N471" i="3" s="1"/>
  <c r="L396" i="3"/>
  <c r="N396" i="3" s="1"/>
  <c r="K396" i="3"/>
  <c r="M396" i="3" s="1"/>
  <c r="O430" i="3"/>
  <c r="O421" i="3"/>
  <c r="L358" i="3"/>
  <c r="N358" i="3" s="1"/>
  <c r="K358" i="3"/>
  <c r="M358" i="3" s="1"/>
  <c r="O406" i="3"/>
  <c r="L374" i="3"/>
  <c r="N374" i="3" s="1"/>
  <c r="K374" i="3"/>
  <c r="M374" i="3" s="1"/>
  <c r="O374" i="3" s="1"/>
  <c r="L366" i="3"/>
  <c r="N366" i="3" s="1"/>
  <c r="K366" i="3"/>
  <c r="M366" i="3" s="1"/>
  <c r="O366" i="3" s="1"/>
  <c r="O348" i="3"/>
  <c r="O332" i="3"/>
  <c r="L330" i="3"/>
  <c r="N330" i="3" s="1"/>
  <c r="K330" i="3"/>
  <c r="M330" i="3" s="1"/>
  <c r="O330" i="3" s="1"/>
  <c r="O356" i="3"/>
  <c r="L322" i="3"/>
  <c r="N322" i="3" s="1"/>
  <c r="K322" i="3"/>
  <c r="M322" i="3" s="1"/>
  <c r="O327" i="3"/>
  <c r="K279" i="3"/>
  <c r="M279" i="3" s="1"/>
  <c r="L279" i="3"/>
  <c r="N279" i="3" s="1"/>
  <c r="O311" i="3"/>
  <c r="L294" i="3"/>
  <c r="N294" i="3" s="1"/>
  <c r="K294" i="3"/>
  <c r="M294" i="3" s="1"/>
  <c r="L278" i="3"/>
  <c r="N278" i="3" s="1"/>
  <c r="K278" i="3"/>
  <c r="M278" i="3" s="1"/>
  <c r="L262" i="3"/>
  <c r="N262" i="3" s="1"/>
  <c r="K262" i="3"/>
  <c r="M262" i="3" s="1"/>
  <c r="O357" i="3"/>
  <c r="O343" i="3"/>
  <c r="O283" i="3"/>
  <c r="O225" i="3"/>
  <c r="O189" i="3"/>
  <c r="L140" i="3"/>
  <c r="N140" i="3" s="1"/>
  <c r="K140" i="3"/>
  <c r="M140" i="3" s="1"/>
  <c r="O140" i="3" s="1"/>
  <c r="L179" i="3"/>
  <c r="N179" i="3" s="1"/>
  <c r="K179" i="3"/>
  <c r="M179" i="3" s="1"/>
  <c r="O179" i="3" s="1"/>
  <c r="O245" i="3"/>
  <c r="O213" i="3"/>
  <c r="O162" i="3"/>
  <c r="L101" i="3"/>
  <c r="N101" i="3" s="1"/>
  <c r="K101" i="3"/>
  <c r="M101" i="3" s="1"/>
  <c r="L69" i="3"/>
  <c r="N69" i="3" s="1"/>
  <c r="K69" i="3"/>
  <c r="M69" i="3" s="1"/>
  <c r="K15" i="3"/>
  <c r="M15" i="3" s="1"/>
  <c r="O15" i="3" s="1"/>
  <c r="L15" i="3"/>
  <c r="N15" i="3" s="1"/>
  <c r="N513" i="3" s="1"/>
  <c r="O71" i="3"/>
  <c r="L121" i="3"/>
  <c r="N121" i="3" s="1"/>
  <c r="K121" i="3"/>
  <c r="M121" i="3" s="1"/>
  <c r="O121" i="3" s="1"/>
  <c r="L89" i="3"/>
  <c r="N89" i="3" s="1"/>
  <c r="K89" i="3"/>
  <c r="M89" i="3" s="1"/>
  <c r="O89" i="3" s="1"/>
  <c r="L43" i="3"/>
  <c r="N43" i="3" s="1"/>
  <c r="K43" i="3"/>
  <c r="M43" i="3" s="1"/>
  <c r="O43" i="3" s="1"/>
  <c r="K512" i="3"/>
  <c r="M512" i="3" s="1"/>
  <c r="L512" i="3"/>
  <c r="N512" i="3" s="1"/>
  <c r="K389" i="3"/>
  <c r="M389" i="3" s="1"/>
  <c r="L389" i="3"/>
  <c r="N389" i="3" s="1"/>
  <c r="L380" i="3"/>
  <c r="N380" i="3" s="1"/>
  <c r="K380" i="3"/>
  <c r="M380" i="3" s="1"/>
  <c r="O380" i="3" s="1"/>
  <c r="O340" i="3"/>
  <c r="L286" i="3"/>
  <c r="N286" i="3" s="1"/>
  <c r="K286" i="3"/>
  <c r="M286" i="3" s="1"/>
  <c r="O267" i="3"/>
  <c r="O241" i="3"/>
  <c r="O209" i="3"/>
  <c r="O186" i="3"/>
  <c r="L117" i="3"/>
  <c r="N117" i="3" s="1"/>
  <c r="K117" i="3"/>
  <c r="M117" i="3" s="1"/>
  <c r="O78" i="3"/>
  <c r="K31" i="3"/>
  <c r="M31" i="3" s="1"/>
  <c r="L31" i="3"/>
  <c r="N31" i="3" s="1"/>
  <c r="O175" i="3"/>
  <c r="O190" i="3"/>
  <c r="O54" i="3"/>
  <c r="L105" i="3"/>
  <c r="N105" i="3" s="1"/>
  <c r="K105" i="3"/>
  <c r="M105" i="3" s="1"/>
  <c r="L73" i="3"/>
  <c r="N73" i="3" s="1"/>
  <c r="K73" i="3"/>
  <c r="M73" i="3" s="1"/>
  <c r="L59" i="3"/>
  <c r="N59" i="3" s="1"/>
  <c r="K59" i="3"/>
  <c r="M59" i="3" s="1"/>
  <c r="L501" i="3"/>
  <c r="N501" i="3" s="1"/>
  <c r="K501" i="3"/>
  <c r="M501" i="3" s="1"/>
  <c r="O491" i="3"/>
  <c r="O480" i="3"/>
  <c r="O496" i="3"/>
  <c r="O499" i="3"/>
  <c r="K405" i="3"/>
  <c r="M405" i="3" s="1"/>
  <c r="O405" i="3" s="1"/>
  <c r="L405" i="3"/>
  <c r="N405" i="3" s="1"/>
  <c r="O453" i="3"/>
  <c r="O422" i="3"/>
  <c r="L485" i="3"/>
  <c r="N485" i="3" s="1"/>
  <c r="K485" i="3"/>
  <c r="M485" i="3" s="1"/>
  <c r="L477" i="3"/>
  <c r="N477" i="3" s="1"/>
  <c r="K477" i="3"/>
  <c r="M477" i="3" s="1"/>
  <c r="O481" i="3"/>
  <c r="O464" i="3"/>
  <c r="O504" i="3"/>
  <c r="O497" i="3"/>
  <c r="O474" i="3"/>
  <c r="O506" i="3"/>
  <c r="K452" i="3"/>
  <c r="M452" i="3" s="1"/>
  <c r="O452" i="3" s="1"/>
  <c r="L452" i="3"/>
  <c r="N452" i="3" s="1"/>
  <c r="K428" i="3"/>
  <c r="M428" i="3" s="1"/>
  <c r="O428" i="3" s="1"/>
  <c r="L428" i="3"/>
  <c r="N428" i="3" s="1"/>
  <c r="L436" i="3"/>
  <c r="N436" i="3" s="1"/>
  <c r="K436" i="3"/>
  <c r="M436" i="3" s="1"/>
  <c r="K397" i="3"/>
  <c r="M397" i="3" s="1"/>
  <c r="O397" i="3" s="1"/>
  <c r="L397" i="3"/>
  <c r="N397" i="3" s="1"/>
  <c r="O502" i="3"/>
  <c r="O468" i="3"/>
  <c r="O460" i="3"/>
  <c r="O440" i="3"/>
  <c r="L388" i="3"/>
  <c r="N388" i="3" s="1"/>
  <c r="K388" i="3"/>
  <c r="M388" i="3" s="1"/>
  <c r="L432" i="3"/>
  <c r="N432" i="3" s="1"/>
  <c r="K432" i="3"/>
  <c r="M432" i="3" s="1"/>
  <c r="O419" i="3"/>
  <c r="O449" i="3"/>
  <c r="O417" i="3"/>
  <c r="O385" i="3"/>
  <c r="K362" i="3"/>
  <c r="M362" i="3" s="1"/>
  <c r="O362" i="3" s="1"/>
  <c r="L362" i="3"/>
  <c r="N362" i="3" s="1"/>
  <c r="O399" i="3"/>
  <c r="O386" i="3"/>
  <c r="O347" i="3"/>
  <c r="L338" i="3"/>
  <c r="N338" i="3" s="1"/>
  <c r="K338" i="3"/>
  <c r="M338" i="3" s="1"/>
  <c r="O338" i="3" s="1"/>
  <c r="K323" i="3"/>
  <c r="M323" i="3" s="1"/>
  <c r="L323" i="3"/>
  <c r="N323" i="3" s="1"/>
  <c r="L314" i="3"/>
  <c r="N314" i="3" s="1"/>
  <c r="K314" i="3"/>
  <c r="M314" i="3" s="1"/>
  <c r="O314" i="3" s="1"/>
  <c r="O350" i="3"/>
  <c r="O337" i="3"/>
  <c r="K303" i="3"/>
  <c r="M303" i="3" s="1"/>
  <c r="L303" i="3"/>
  <c r="N303" i="3" s="1"/>
  <c r="K287" i="3"/>
  <c r="M287" i="3" s="1"/>
  <c r="L287" i="3"/>
  <c r="N287" i="3" s="1"/>
  <c r="K255" i="3"/>
  <c r="M255" i="3" s="1"/>
  <c r="L255" i="3"/>
  <c r="N255" i="3" s="1"/>
  <c r="O317" i="3"/>
  <c r="O352" i="3"/>
  <c r="O334" i="3"/>
  <c r="O275" i="3"/>
  <c r="O233" i="3"/>
  <c r="K196" i="3"/>
  <c r="M196" i="3" s="1"/>
  <c r="O196" i="3" s="1"/>
  <c r="L196" i="3"/>
  <c r="N196" i="3" s="1"/>
  <c r="K180" i="3"/>
  <c r="M180" i="3" s="1"/>
  <c r="O180" i="3" s="1"/>
  <c r="L180" i="3"/>
  <c r="N180" i="3" s="1"/>
  <c r="L156" i="3"/>
  <c r="N156" i="3" s="1"/>
  <c r="K156" i="3"/>
  <c r="M156" i="3" s="1"/>
  <c r="L187" i="3"/>
  <c r="N187" i="3" s="1"/>
  <c r="K187" i="3"/>
  <c r="M187" i="3" s="1"/>
  <c r="K144" i="3"/>
  <c r="M144" i="3" s="1"/>
  <c r="O144" i="3" s="1"/>
  <c r="L144" i="3"/>
  <c r="N144" i="3" s="1"/>
  <c r="O379" i="3"/>
  <c r="O387" i="3"/>
  <c r="O395" i="3"/>
  <c r="O403" i="3"/>
  <c r="O411" i="3"/>
  <c r="O253" i="3"/>
  <c r="O221" i="3"/>
  <c r="L132" i="3"/>
  <c r="N132" i="3" s="1"/>
  <c r="K132" i="3"/>
  <c r="M132" i="3" s="1"/>
  <c r="O132" i="3" s="1"/>
  <c r="O201" i="3"/>
  <c r="O193" i="3"/>
  <c r="O185" i="3"/>
  <c r="O177" i="3"/>
  <c r="O169" i="3"/>
  <c r="O157" i="3"/>
  <c r="L147" i="3"/>
  <c r="N147" i="3" s="1"/>
  <c r="K147" i="3"/>
  <c r="M147" i="3" s="1"/>
  <c r="O147" i="3" s="1"/>
  <c r="L125" i="3"/>
  <c r="N125" i="3" s="1"/>
  <c r="K125" i="3"/>
  <c r="M125" i="3" s="1"/>
  <c r="O125" i="3" s="1"/>
  <c r="L93" i="3"/>
  <c r="N93" i="3" s="1"/>
  <c r="K93" i="3"/>
  <c r="M93" i="3" s="1"/>
  <c r="O93" i="3" s="1"/>
  <c r="O119" i="3"/>
  <c r="O103" i="3"/>
  <c r="O87" i="3"/>
  <c r="O123" i="3"/>
  <c r="O107" i="3"/>
  <c r="O91" i="3"/>
  <c r="O75" i="3"/>
  <c r="L129" i="3"/>
  <c r="N129" i="3" s="1"/>
  <c r="K129" i="3"/>
  <c r="M129" i="3" s="1"/>
  <c r="L97" i="3"/>
  <c r="N97" i="3" s="1"/>
  <c r="K97" i="3"/>
  <c r="M97" i="3" s="1"/>
  <c r="L65" i="3"/>
  <c r="N65" i="3" s="1"/>
  <c r="K65" i="3"/>
  <c r="M65" i="3" s="1"/>
  <c r="L51" i="3"/>
  <c r="N51" i="3" s="1"/>
  <c r="K51" i="3"/>
  <c r="M51" i="3" s="1"/>
  <c r="K27" i="3"/>
  <c r="M27" i="3" s="1"/>
  <c r="O27" i="3" s="1"/>
  <c r="L27" i="3"/>
  <c r="N27" i="3" s="1"/>
  <c r="K13" i="3"/>
  <c r="M13" i="3" s="1"/>
  <c r="O28" i="3"/>
  <c r="O20" i="3"/>
  <c r="O51" i="3" l="1"/>
  <c r="O97" i="3"/>
  <c r="O156" i="3"/>
  <c r="O255" i="3"/>
  <c r="O303" i="3"/>
  <c r="O388" i="3"/>
  <c r="O436" i="3"/>
  <c r="O477" i="3"/>
  <c r="O501" i="3"/>
  <c r="O73" i="3"/>
  <c r="O31" i="3"/>
  <c r="O286" i="3"/>
  <c r="O512" i="3"/>
  <c r="O101" i="3"/>
  <c r="O278" i="3"/>
  <c r="O322" i="3"/>
  <c r="O358" i="3"/>
  <c r="O396" i="3"/>
  <c r="O489" i="3"/>
  <c r="O295" i="3"/>
  <c r="O420" i="3"/>
  <c r="O470" i="3"/>
  <c r="O35" i="3"/>
  <c r="O163" i="3"/>
  <c r="O207" i="3"/>
  <c r="O223" i="3"/>
  <c r="O239" i="3"/>
  <c r="O271" i="3"/>
  <c r="O381" i="3"/>
  <c r="O444" i="3"/>
  <c r="O478" i="3"/>
  <c r="M513" i="3"/>
  <c r="B516" i="3" s="1"/>
  <c r="O13" i="3"/>
  <c r="O65" i="3"/>
  <c r="O129" i="3"/>
  <c r="O187" i="3"/>
  <c r="O287" i="3"/>
  <c r="O323" i="3"/>
  <c r="O432" i="3"/>
  <c r="O485" i="3"/>
  <c r="O59" i="3"/>
  <c r="O105" i="3"/>
  <c r="O117" i="3"/>
  <c r="O389" i="3"/>
  <c r="O69" i="3"/>
  <c r="O262" i="3"/>
  <c r="O294" i="3"/>
  <c r="O279" i="3"/>
  <c r="O270" i="3"/>
  <c r="O263" i="3"/>
  <c r="O412" i="3"/>
  <c r="O455" i="3"/>
  <c r="O19" i="3"/>
  <c r="O23" i="3"/>
  <c r="O164" i="3"/>
  <c r="O171" i="3"/>
  <c r="O215" i="3"/>
  <c r="O231" i="3"/>
  <c r="O247" i="3"/>
  <c r="O413" i="3"/>
  <c r="O462" i="3"/>
  <c r="O493" i="3"/>
  <c r="O148" i="3"/>
  <c r="O509" i="3"/>
  <c r="O513" i="3" l="1"/>
  <c r="B517" i="3" s="1"/>
</calcChain>
</file>

<file path=xl/sharedStrings.xml><?xml version="1.0" encoding="utf-8"?>
<sst xmlns="http://schemas.openxmlformats.org/spreadsheetml/2006/main" count="578" uniqueCount="76">
  <si>
    <t>Demand Forecasting &amp; Inventory Optimization — Excel Tools</t>
  </si>
  <si>
    <t>This workbook is built on top of the validated Colab pipeline (Notebooks 01-05) and Power BI report. It does not re-run the forecasting models — it takes their validated outputs (per-SKU forecast-error sigma, real unit prices) and gives Excel a genuine, real role: live sensitivity analysis on the locked EOQ / Safety Stock / Reorder Point formulas, and a hands-on Solver proof of why EOQ is the cost-minimizing order quantity in the first place.</t>
  </si>
  <si>
    <t>Tab</t>
  </si>
  <si>
    <t>Purpose</t>
  </si>
  <si>
    <t>Sensitivity Calculator</t>
  </si>
  <si>
    <t>Live what-if tool on all 500 real SKUs. Change ordering cost, holding rate, lead time, or service level and every EOQ / Safety Stock / Reorder Point / Holding Cost figure recalculates immediately — including the portfolio-level Safety Stock and Holding Cost reduction percentages. At the locked assumptions (Rs 750 ordering cost, 20% holding rate, 7-day lead time, 95% service level) this reproduces the validated 33.3% safety stock reduction and 5.3% (Rs 7.29L) holding cost reduction exactly.</t>
  </si>
  <si>
    <t>EOQ Solver Demo</t>
  </si>
  <si>
    <t>A small, real subset (5 SKUs) of the EOQ optimization problem underlying the entire inventory analysis. Order quantity starts at a deliberately non-optimal guess. Use Data &gt; Solver to minimize total annual cost by varying order quantity — and confirm Solver's answer lands on the same value as the closed-form EOQ formula used throughout this project. This is a genuine nonlinear optimization (GRG Nonlinear), not the integer/assignment type of problem Solver demos are usually built around — EOQ's cost curve is smooth and convex, not combinatorial.</t>
  </si>
  <si>
    <t>Data - SKU Detail</t>
  </si>
  <si>
    <t>Real per-SKU inputs (unit price, annual demand, naive/XGBoost forecast-error sigma) for all 500 store-item combinations, copied from the validated Notebook 04/05 exports. Feeds the Sensitivity Calculator via formulas — nothing here is re-derived, only referenced.</t>
  </si>
  <si>
    <t>Color legend</t>
  </si>
  <si>
    <t>Blue text, yellow fill</t>
  </si>
  <si>
    <t>Editable input / assumption — change this</t>
  </si>
  <si>
    <t>Black text</t>
  </si>
  <si>
    <t>Formula — recalculates automatically, do not overtype</t>
  </si>
  <si>
    <t>Grey fill</t>
  </si>
  <si>
    <t>Reference data, copied from validated Notebook 05 exports</t>
  </si>
  <si>
    <t>Data source &amp; validation</t>
  </si>
  <si>
    <t>Per-SKU unit price, annual demand, and naive/XGBoost forecast-error sigma are the exact validated values from the Colab pipeline (fact_inventory_policy, joined to dim_item). Formulas in this workbook (EOQ = SQRT(2DS/H); Safety Stock = Z x sigma x SQRT(lead time); Average Inventory = EOQ/2 + Safety Stock; Holding Cost = Average Inventory x unit price x holding rate) are identical to the ones used in Notebook 04. At the locked assumptions, this workbook's totals were confirmed to reproduce the validated benchmarks (33.3% safety stock reduction, 5.3% / Rs 7,28,902 holding cost reduction) before this file was finalized.</t>
  </si>
  <si>
    <t>store_key</t>
  </si>
  <si>
    <t>item_key</t>
  </si>
  <si>
    <t>unit_price</t>
  </si>
  <si>
    <t>abc_class</t>
  </si>
  <si>
    <t>avg_daily_demand</t>
  </si>
  <si>
    <t>annual_demand</t>
  </si>
  <si>
    <t>naive_sigma</t>
  </si>
  <si>
    <t>best_sigma</t>
  </si>
  <si>
    <t>A</t>
  </si>
  <si>
    <t>B</t>
  </si>
  <si>
    <t>C</t>
  </si>
  <si>
    <t>Sensitivity calculator — live EOQ / Safety Stock / Holding Cost, all 500 SKUs</t>
  </si>
  <si>
    <t>Recalculates from Data - SKU Detail using the assumptions below. Does not re-run the forecasting models.</t>
  </si>
  <si>
    <t>Assumptions (edit the yellow cells)</t>
  </si>
  <si>
    <t>Ordering cost (Rs/order)</t>
  </si>
  <si>
    <t>Holding rate (annual, % of unit price)</t>
  </si>
  <si>
    <t>Lead time (days)</t>
  </si>
  <si>
    <t>Target service level</t>
  </si>
  <si>
    <t>Z-value (from service level, NORM.S.INV)</t>
  </si>
  <si>
    <t>unit_price (Rs)</t>
  </si>
  <si>
    <t>holding_cost/unit (Rs)</t>
  </si>
  <si>
    <t>EOQ (units)</t>
  </si>
  <si>
    <t>naive_safety_stock</t>
  </si>
  <si>
    <t>ml_safety_stock</t>
  </si>
  <si>
    <t>naive_avg_inventory</t>
  </si>
  <si>
    <t>ml_avg_inventory</t>
  </si>
  <si>
    <t>naive_holding_cost (Rs)</t>
  </si>
  <si>
    <t>ml_holding_cost (Rs)</t>
  </si>
  <si>
    <t>holding_cost_saving (Rs)</t>
  </si>
  <si>
    <t>PORTFOLIO TOTAL</t>
  </si>
  <si>
    <t>Safety Stock Reduction %</t>
  </si>
  <si>
    <t>Holding Cost Reduction %</t>
  </si>
  <si>
    <t>Annual Holding Cost Saving (Rs)</t>
  </si>
  <si>
    <t>EOQ Solver demonstration — real data, 5 SKUs</t>
  </si>
  <si>
    <t>Proof of mechanics, not a re-optimization of the portfolio. All demand, price, and holding-cost figures below are real, drawn from the same validated data as the full 500-SKU calculator. Order quantity (Q) starts at a deliberately wrong guess (50 units) so Solver visibly has work to do. Use Data &gt; Solver to minimize total annual cost, then compare Solver's answer to the closed-form EOQ formula used throughout this project.</t>
  </si>
  <si>
    <t>SKU (store-item)</t>
  </si>
  <si>
    <t>Annual demand (D)</t>
  </si>
  <si>
    <t>Ordering cost (S, Rs)</t>
  </si>
  <si>
    <t>Holding cost/unit (H, Rs)</t>
  </si>
  <si>
    <t>Order Qty Q (Solver fills)</t>
  </si>
  <si>
    <t>Ordering cost/yr (D/Q*S)</t>
  </si>
  <si>
    <t>Holding cost/yr (Q/2*H)</t>
  </si>
  <si>
    <t>Total cost/yr</t>
  </si>
  <si>
    <t>Closed-form EOQ (validated, = SQRT(2DS/H))</t>
  </si>
  <si>
    <t>S8-I12</t>
  </si>
  <si>
    <t>S2-I24</t>
  </si>
  <si>
    <t>S8-I25</t>
  </si>
  <si>
    <t>S4-I6</t>
  </si>
  <si>
    <t>S3-I5</t>
  </si>
  <si>
    <t>OBJECTIVE: Total cost/yr, all 5 SKUs</t>
  </si>
  <si>
    <t>Solver setup (Data tab &gt; Solver)</t>
  </si>
  <si>
    <t>1. Set Objective: B11   Set to: Min</t>
  </si>
  <si>
    <t>2. By Changing Variable Cells: E5:E9</t>
  </si>
  <si>
    <t>3. Add Constraint: E5:E9 &gt;= 1  (order quantity must be positive)</t>
  </si>
  <si>
    <t>4. Solving method: GRG Nonlinear (the cost curve is smooth and convex, not linear or integer-constrained)</t>
  </si>
  <si>
    <t>5. Click Solve</t>
  </si>
  <si>
    <t>6. Compare column E (Solver's answer) to column I (closed-form EOQ) -- they should match closely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</si>
</sst>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5" fillId="3" borderId="0" xfId="0" applyFont="1" applyFill="1"/>
    <xf numFmtId="0" fontId="2" fillId="4" borderId="0" xfId="0" applyFont="1" applyFill="1"/>
    <xf numFmtId="0" fontId="6" fillId="0" borderId="0" xfId="0" applyFont="1"/>
    <xf numFmtId="0" fontId="4" fillId="5" borderId="0" xfId="0" applyFont="1" applyFill="1"/>
    <xf numFmtId="164" fontId="4" fillId="5" borderId="0" xfId="0" applyNumberFormat="1" applyFont="1" applyFill="1"/>
    <xf numFmtId="3" fontId="4" fillId="5" borderId="0" xfId="0" applyNumberFormat="1" applyFont="1" applyFill="1"/>
    <xf numFmtId="0" fontId="6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Normal="100" workbookViewId="0"/>
  </sheetViews>
  <sheetFormatPr defaultColWidth="8.7109375" defaultRowHeight="15" x14ac:dyDescent="0.25"/>
  <cols>
    <col min="1" max="1" width="100" customWidth="1"/>
    <col min="2" max="2" width="110" customWidth="1"/>
  </cols>
  <sheetData>
    <row r="1" spans="1:2" ht="16.5" x14ac:dyDescent="0.25">
      <c r="A1" s="1" t="s">
        <v>0</v>
      </c>
    </row>
    <row r="3" spans="1:2" ht="60" customHeight="1" x14ac:dyDescent="0.25">
      <c r="A3" s="2" t="s">
        <v>1</v>
      </c>
    </row>
    <row r="6" spans="1:2" ht="15" customHeight="1" x14ac:dyDescent="0.25">
      <c r="A6" s="3" t="s">
        <v>2</v>
      </c>
      <c r="B6" s="2" t="s">
        <v>3</v>
      </c>
    </row>
    <row r="8" spans="1:2" ht="69.75" customHeight="1" x14ac:dyDescent="0.25">
      <c r="A8" s="4" t="s">
        <v>4</v>
      </c>
      <c r="B8" s="2" t="s">
        <v>5</v>
      </c>
    </row>
    <row r="10" spans="1:2" ht="69.75" customHeight="1" x14ac:dyDescent="0.25">
      <c r="A10" s="4" t="s">
        <v>6</v>
      </c>
      <c r="B10" s="2" t="s">
        <v>7</v>
      </c>
    </row>
    <row r="12" spans="1:2" ht="69.75" customHeight="1" x14ac:dyDescent="0.25">
      <c r="A12" s="4" t="s">
        <v>8</v>
      </c>
      <c r="B12" s="2" t="s">
        <v>9</v>
      </c>
    </row>
    <row r="15" spans="1:2" x14ac:dyDescent="0.25">
      <c r="A15" s="5" t="s">
        <v>10</v>
      </c>
    </row>
    <row r="16" spans="1:2" x14ac:dyDescent="0.25">
      <c r="A16" s="6" t="s">
        <v>11</v>
      </c>
      <c r="B16" s="4" t="s">
        <v>12</v>
      </c>
    </row>
    <row r="17" spans="1:2" x14ac:dyDescent="0.25">
      <c r="A17" s="4" t="s">
        <v>13</v>
      </c>
      <c r="B17" s="4" t="s">
        <v>14</v>
      </c>
    </row>
    <row r="18" spans="1:2" x14ac:dyDescent="0.25">
      <c r="A18" s="7" t="s">
        <v>15</v>
      </c>
      <c r="B18" s="4" t="s">
        <v>16</v>
      </c>
    </row>
    <row r="21" spans="1:2" x14ac:dyDescent="0.25">
      <c r="A21" s="5" t="s">
        <v>17</v>
      </c>
    </row>
    <row r="22" spans="1:2" ht="84.75" customHeight="1" x14ac:dyDescent="0.25">
      <c r="A22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zoomScaleNormal="100" workbookViewId="0"/>
  </sheetViews>
  <sheetFormatPr defaultColWidth="8.7109375" defaultRowHeight="15" x14ac:dyDescent="0.25"/>
  <cols>
    <col min="1" max="8" width="14" customWidth="1"/>
  </cols>
  <sheetData>
    <row r="1" spans="1:8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x14ac:dyDescent="0.25">
      <c r="A2" s="7">
        <v>1</v>
      </c>
      <c r="B2" s="7">
        <v>1</v>
      </c>
      <c r="C2" s="7">
        <v>2297.6799999999998</v>
      </c>
      <c r="D2" s="7" t="s">
        <v>27</v>
      </c>
      <c r="E2" s="7">
        <v>22.172602739725999</v>
      </c>
      <c r="F2" s="7">
        <v>8093</v>
      </c>
      <c r="G2" s="7">
        <v>6.3575857305324801</v>
      </c>
      <c r="H2" s="7">
        <v>4.7558665877311102</v>
      </c>
    </row>
    <row r="3" spans="1:8" x14ac:dyDescent="0.25">
      <c r="A3" s="7">
        <v>1</v>
      </c>
      <c r="B3" s="7">
        <v>2</v>
      </c>
      <c r="C3" s="7">
        <v>235.35</v>
      </c>
      <c r="D3" s="7" t="s">
        <v>28</v>
      </c>
      <c r="E3" s="7">
        <v>59.098630136986301</v>
      </c>
      <c r="F3" s="7">
        <v>21571</v>
      </c>
      <c r="G3" s="7">
        <v>10.5595709637902</v>
      </c>
      <c r="H3" s="7">
        <v>7.2935315301872503</v>
      </c>
    </row>
    <row r="4" spans="1:8" x14ac:dyDescent="0.25">
      <c r="A4" s="7">
        <v>1</v>
      </c>
      <c r="B4" s="7">
        <v>3</v>
      </c>
      <c r="C4" s="7">
        <v>767.06</v>
      </c>
      <c r="D4" s="7" t="s">
        <v>27</v>
      </c>
      <c r="E4" s="7">
        <v>37.145205479452102</v>
      </c>
      <c r="F4" s="7">
        <v>13558</v>
      </c>
      <c r="G4" s="7">
        <v>8.5823280358565999</v>
      </c>
      <c r="H4" s="7">
        <v>5.9251613771182301</v>
      </c>
    </row>
    <row r="5" spans="1:8" x14ac:dyDescent="0.25">
      <c r="A5" s="7">
        <v>1</v>
      </c>
      <c r="B5" s="7">
        <v>4</v>
      </c>
      <c r="C5" s="7">
        <v>1783.76</v>
      </c>
      <c r="D5" s="7" t="s">
        <v>27</v>
      </c>
      <c r="E5" s="7">
        <v>22.150684931506898</v>
      </c>
      <c r="F5" s="7">
        <v>8085</v>
      </c>
      <c r="G5" s="7">
        <v>6.5576479970144197</v>
      </c>
      <c r="H5" s="7">
        <v>4.3318037030920102</v>
      </c>
    </row>
    <row r="6" spans="1:8" x14ac:dyDescent="0.25">
      <c r="A6" s="7">
        <v>1</v>
      </c>
      <c r="B6" s="7">
        <v>5</v>
      </c>
      <c r="C6" s="7">
        <v>2500</v>
      </c>
      <c r="D6" s="7" t="s">
        <v>27</v>
      </c>
      <c r="E6" s="7">
        <v>18.663013698630099</v>
      </c>
      <c r="F6" s="7">
        <v>6812</v>
      </c>
      <c r="G6" s="7">
        <v>6.19537765211044</v>
      </c>
      <c r="H6" s="7">
        <v>4.28673037721141</v>
      </c>
    </row>
    <row r="7" spans="1:8" x14ac:dyDescent="0.25">
      <c r="A7" s="7">
        <v>1</v>
      </c>
      <c r="B7" s="7">
        <v>6</v>
      </c>
      <c r="C7" s="7">
        <v>278.63</v>
      </c>
      <c r="D7" s="7" t="s">
        <v>28</v>
      </c>
      <c r="E7" s="7">
        <v>59.172602739726003</v>
      </c>
      <c r="F7" s="7">
        <v>21598</v>
      </c>
      <c r="G7" s="7">
        <v>11.1766213921271</v>
      </c>
      <c r="H7" s="7">
        <v>7.9856862140163702</v>
      </c>
    </row>
    <row r="8" spans="1:8" x14ac:dyDescent="0.25">
      <c r="A8" s="7">
        <v>1</v>
      </c>
      <c r="B8" s="7">
        <v>7</v>
      </c>
      <c r="C8" s="7">
        <v>256.08</v>
      </c>
      <c r="D8" s="7" t="s">
        <v>28</v>
      </c>
      <c r="E8" s="7">
        <v>58.5287671232877</v>
      </c>
      <c r="F8" s="7">
        <v>21363</v>
      </c>
      <c r="G8" s="7">
        <v>11.889802992207301</v>
      </c>
      <c r="H8" s="7">
        <v>8.0424683690104093</v>
      </c>
    </row>
    <row r="9" spans="1:8" x14ac:dyDescent="0.25">
      <c r="A9" s="7">
        <v>1</v>
      </c>
      <c r="B9" s="7">
        <v>8</v>
      </c>
      <c r="C9" s="7">
        <v>85.49</v>
      </c>
      <c r="D9" s="7" t="s">
        <v>29</v>
      </c>
      <c r="E9" s="7">
        <v>77.690410958904096</v>
      </c>
      <c r="F9" s="7">
        <v>28357</v>
      </c>
      <c r="G9" s="7">
        <v>15.741203111394301</v>
      </c>
      <c r="H9" s="7">
        <v>9.5398152412021204</v>
      </c>
    </row>
    <row r="10" spans="1:8" x14ac:dyDescent="0.25">
      <c r="A10" s="7">
        <v>1</v>
      </c>
      <c r="B10" s="7">
        <v>9</v>
      </c>
      <c r="C10" s="7">
        <v>303.16000000000003</v>
      </c>
      <c r="D10" s="7" t="s">
        <v>28</v>
      </c>
      <c r="E10" s="7">
        <v>51.750684931506903</v>
      </c>
      <c r="F10" s="7">
        <v>18889</v>
      </c>
      <c r="G10" s="7">
        <v>11.682084322725499</v>
      </c>
      <c r="H10" s="7">
        <v>7.7951993854454704</v>
      </c>
    </row>
    <row r="11" spans="1:8" x14ac:dyDescent="0.25">
      <c r="A11" s="7">
        <v>1</v>
      </c>
      <c r="B11" s="7">
        <v>10</v>
      </c>
      <c r="C11" s="7">
        <v>93.02</v>
      </c>
      <c r="D11" s="7" t="s">
        <v>29</v>
      </c>
      <c r="E11" s="7">
        <v>74.273972602739704</v>
      </c>
      <c r="F11" s="7">
        <v>27110</v>
      </c>
      <c r="G11" s="7">
        <v>15.405507792009701</v>
      </c>
      <c r="H11" s="7">
        <v>9.7418377246389891</v>
      </c>
    </row>
    <row r="12" spans="1:8" x14ac:dyDescent="0.25">
      <c r="A12" s="7">
        <v>1</v>
      </c>
      <c r="B12" s="7">
        <v>11</v>
      </c>
      <c r="C12" s="7">
        <v>101.21</v>
      </c>
      <c r="D12" s="7" t="s">
        <v>29</v>
      </c>
      <c r="E12" s="7">
        <v>70.9643835616438</v>
      </c>
      <c r="F12" s="7">
        <v>25902</v>
      </c>
      <c r="G12" s="7">
        <v>12.698396880133</v>
      </c>
      <c r="H12" s="7">
        <v>8.9470633882396395</v>
      </c>
    </row>
    <row r="13" spans="1:8" x14ac:dyDescent="0.25">
      <c r="A13" s="7">
        <v>1</v>
      </c>
      <c r="B13" s="7">
        <v>12</v>
      </c>
      <c r="C13" s="7">
        <v>110.12</v>
      </c>
      <c r="D13" s="7" t="s">
        <v>29</v>
      </c>
      <c r="E13" s="7">
        <v>70.789041095890397</v>
      </c>
      <c r="F13" s="7">
        <v>25838</v>
      </c>
      <c r="G13" s="7">
        <v>10.6376266980844</v>
      </c>
      <c r="H13" s="7">
        <v>7.1312889341269603</v>
      </c>
    </row>
    <row r="14" spans="1:8" x14ac:dyDescent="0.25">
      <c r="A14" s="7">
        <v>1</v>
      </c>
      <c r="B14" s="7">
        <v>13</v>
      </c>
      <c r="C14" s="7">
        <v>47.35</v>
      </c>
      <c r="D14" s="7" t="s">
        <v>29</v>
      </c>
      <c r="E14" s="7">
        <v>84.9808219178082</v>
      </c>
      <c r="F14" s="7">
        <v>31018</v>
      </c>
      <c r="G14" s="7">
        <v>15.180707952271399</v>
      </c>
      <c r="H14" s="7">
        <v>10.297860243639899</v>
      </c>
    </row>
    <row r="15" spans="1:8" x14ac:dyDescent="0.25">
      <c r="A15" s="7">
        <v>1</v>
      </c>
      <c r="B15" s="7">
        <v>14</v>
      </c>
      <c r="C15" s="7">
        <v>182.71</v>
      </c>
      <c r="D15" s="7" t="s">
        <v>28</v>
      </c>
      <c r="E15" s="7">
        <v>59.115068493150702</v>
      </c>
      <c r="F15" s="7">
        <v>21577</v>
      </c>
      <c r="G15" s="7">
        <v>12.5525127256904</v>
      </c>
      <c r="H15" s="7">
        <v>7.0740651389342402</v>
      </c>
    </row>
    <row r="16" spans="1:8" x14ac:dyDescent="0.25">
      <c r="A16" s="7">
        <v>1</v>
      </c>
      <c r="B16" s="7">
        <v>15</v>
      </c>
      <c r="C16" s="7">
        <v>40</v>
      </c>
      <c r="D16" s="7" t="s">
        <v>29</v>
      </c>
      <c r="E16" s="7">
        <v>89.0082191780822</v>
      </c>
      <c r="F16" s="7">
        <v>32488</v>
      </c>
      <c r="G16" s="7">
        <v>13.9596374003674</v>
      </c>
      <c r="H16" s="7">
        <v>9.3140446584471697</v>
      </c>
    </row>
    <row r="17" spans="1:8" x14ac:dyDescent="0.25">
      <c r="A17" s="7">
        <v>1</v>
      </c>
      <c r="B17" s="7">
        <v>16</v>
      </c>
      <c r="C17" s="7">
        <v>1506.73</v>
      </c>
      <c r="D17" s="7" t="s">
        <v>27</v>
      </c>
      <c r="E17" s="7">
        <v>25.857534246575302</v>
      </c>
      <c r="F17" s="7">
        <v>9438</v>
      </c>
      <c r="G17" s="7">
        <v>9.1506672402198497</v>
      </c>
      <c r="H17" s="7">
        <v>6.1875385564274001</v>
      </c>
    </row>
    <row r="18" spans="1:8" x14ac:dyDescent="0.25">
      <c r="A18" s="7">
        <v>1</v>
      </c>
      <c r="B18" s="7">
        <v>17</v>
      </c>
      <c r="C18" s="7">
        <v>834.61</v>
      </c>
      <c r="D18" s="7" t="s">
        <v>27</v>
      </c>
      <c r="E18" s="7">
        <v>33.161643835616402</v>
      </c>
      <c r="F18" s="7">
        <v>12104</v>
      </c>
      <c r="G18" s="7">
        <v>8.0192896325784506</v>
      </c>
      <c r="H18" s="7">
        <v>5.5744920169902503</v>
      </c>
    </row>
    <row r="19" spans="1:8" x14ac:dyDescent="0.25">
      <c r="A19" s="7">
        <v>1</v>
      </c>
      <c r="B19" s="7">
        <v>18</v>
      </c>
      <c r="C19" s="7">
        <v>51.52</v>
      </c>
      <c r="D19" s="7" t="s">
        <v>29</v>
      </c>
      <c r="E19" s="7">
        <v>84.660273972602695</v>
      </c>
      <c r="F19" s="7">
        <v>30901</v>
      </c>
      <c r="G19" s="7">
        <v>13.525647630066</v>
      </c>
      <c r="H19" s="7">
        <v>9.9095382455900296</v>
      </c>
    </row>
    <row r="20" spans="1:8" x14ac:dyDescent="0.25">
      <c r="A20" s="7">
        <v>1</v>
      </c>
      <c r="B20" s="7">
        <v>19</v>
      </c>
      <c r="C20" s="7">
        <v>547.29999999999995</v>
      </c>
      <c r="D20" s="7" t="s">
        <v>27</v>
      </c>
      <c r="E20" s="7">
        <v>41.391780821917799</v>
      </c>
      <c r="F20" s="7">
        <v>15108</v>
      </c>
      <c r="G20" s="7">
        <v>8.4182644471386698</v>
      </c>
      <c r="H20" s="7">
        <v>6.2801524386594298</v>
      </c>
    </row>
    <row r="21" spans="1:8" x14ac:dyDescent="0.25">
      <c r="A21" s="7">
        <v>1</v>
      </c>
      <c r="B21" s="7">
        <v>20</v>
      </c>
      <c r="C21" s="7">
        <v>424.89</v>
      </c>
      <c r="D21" s="7" t="s">
        <v>28</v>
      </c>
      <c r="E21" s="7">
        <v>47.846575342465798</v>
      </c>
      <c r="F21" s="7">
        <v>17464</v>
      </c>
      <c r="G21" s="7">
        <v>10.6493597402029</v>
      </c>
      <c r="H21" s="7">
        <v>7.1420872307127601</v>
      </c>
    </row>
    <row r="22" spans="1:8" x14ac:dyDescent="0.25">
      <c r="A22" s="7">
        <v>1</v>
      </c>
      <c r="B22" s="7">
        <v>21</v>
      </c>
      <c r="C22" s="7">
        <v>647.92999999999995</v>
      </c>
      <c r="D22" s="7" t="s">
        <v>27</v>
      </c>
      <c r="E22" s="7">
        <v>40.126027397260302</v>
      </c>
      <c r="F22" s="7">
        <v>14646</v>
      </c>
      <c r="G22" s="7">
        <v>8.5238206453825001</v>
      </c>
      <c r="H22" s="7">
        <v>5.9688410253515398</v>
      </c>
    </row>
    <row r="23" spans="1:8" x14ac:dyDescent="0.25">
      <c r="A23" s="7">
        <v>1</v>
      </c>
      <c r="B23" s="7">
        <v>22</v>
      </c>
      <c r="C23" s="7">
        <v>72.209999999999994</v>
      </c>
      <c r="D23" s="7" t="s">
        <v>29</v>
      </c>
      <c r="E23" s="7">
        <v>81.665753424657495</v>
      </c>
      <c r="F23" s="7">
        <v>29808</v>
      </c>
      <c r="G23" s="7">
        <v>14.273968534899801</v>
      </c>
      <c r="H23" s="7">
        <v>8.7529231470269195</v>
      </c>
    </row>
    <row r="24" spans="1:8" x14ac:dyDescent="0.25">
      <c r="A24" s="7">
        <v>1</v>
      </c>
      <c r="B24" s="7">
        <v>23</v>
      </c>
      <c r="C24" s="7">
        <v>1075.06</v>
      </c>
      <c r="D24" s="7" t="s">
        <v>27</v>
      </c>
      <c r="E24" s="7">
        <v>29.605479452054801</v>
      </c>
      <c r="F24" s="7">
        <v>10806</v>
      </c>
      <c r="G24" s="7">
        <v>8.7482917587179401</v>
      </c>
      <c r="H24" s="7">
        <v>5.4231004603881301</v>
      </c>
    </row>
    <row r="25" spans="1:8" x14ac:dyDescent="0.25">
      <c r="A25" s="7">
        <v>1</v>
      </c>
      <c r="B25" s="7">
        <v>24</v>
      </c>
      <c r="C25" s="7">
        <v>141.85</v>
      </c>
      <c r="D25" s="7" t="s">
        <v>29</v>
      </c>
      <c r="E25" s="7">
        <v>66.871232876712298</v>
      </c>
      <c r="F25" s="7">
        <v>24408</v>
      </c>
      <c r="G25" s="7">
        <v>11.049702030127801</v>
      </c>
      <c r="H25" s="7">
        <v>8.4244662951215599</v>
      </c>
    </row>
    <row r="26" spans="1:8" x14ac:dyDescent="0.25">
      <c r="A26" s="7">
        <v>1</v>
      </c>
      <c r="B26" s="7">
        <v>25</v>
      </c>
      <c r="C26" s="7">
        <v>56.06</v>
      </c>
      <c r="D26" s="7" t="s">
        <v>29</v>
      </c>
      <c r="E26" s="7">
        <v>81.049315068493101</v>
      </c>
      <c r="F26" s="7">
        <v>29583</v>
      </c>
      <c r="G26" s="7">
        <v>14.266941798604201</v>
      </c>
      <c r="H26" s="7">
        <v>9.6571582252712407</v>
      </c>
    </row>
    <row r="27" spans="1:8" x14ac:dyDescent="0.25">
      <c r="A27" s="7">
        <v>1</v>
      </c>
      <c r="B27" s="7">
        <v>26</v>
      </c>
      <c r="C27" s="7">
        <v>390.5</v>
      </c>
      <c r="D27" s="7" t="s">
        <v>28</v>
      </c>
      <c r="E27" s="7">
        <v>48.123287671232902</v>
      </c>
      <c r="F27" s="7">
        <v>17565</v>
      </c>
      <c r="G27" s="7">
        <v>9.7094188364896201</v>
      </c>
      <c r="H27" s="7">
        <v>7.2653666882313299</v>
      </c>
    </row>
    <row r="28" spans="1:8" x14ac:dyDescent="0.25">
      <c r="A28" s="7">
        <v>1</v>
      </c>
      <c r="B28" s="7">
        <v>27</v>
      </c>
      <c r="C28" s="7">
        <v>1639.41</v>
      </c>
      <c r="D28" s="7" t="s">
        <v>27</v>
      </c>
      <c r="E28" s="7">
        <v>22.2301369863014</v>
      </c>
      <c r="F28" s="7">
        <v>8114</v>
      </c>
      <c r="G28" s="7">
        <v>6.3166938439354796</v>
      </c>
      <c r="H28" s="7">
        <v>4.3267881999659599</v>
      </c>
    </row>
    <row r="29" spans="1:8" x14ac:dyDescent="0.25">
      <c r="A29" s="7">
        <v>1</v>
      </c>
      <c r="B29" s="7">
        <v>28</v>
      </c>
      <c r="C29" s="7">
        <v>43.52</v>
      </c>
      <c r="D29" s="7" t="s">
        <v>29</v>
      </c>
      <c r="E29" s="7">
        <v>88.684931506849296</v>
      </c>
      <c r="F29" s="7">
        <v>32370</v>
      </c>
      <c r="G29" s="7">
        <v>16.542359733479401</v>
      </c>
      <c r="H29" s="7">
        <v>10.613621182372899</v>
      </c>
    </row>
    <row r="30" spans="1:8" x14ac:dyDescent="0.25">
      <c r="A30" s="7">
        <v>1</v>
      </c>
      <c r="B30" s="7">
        <v>29</v>
      </c>
      <c r="C30" s="7">
        <v>119.82</v>
      </c>
      <c r="D30" s="7" t="s">
        <v>29</v>
      </c>
      <c r="E30" s="7">
        <v>70.391780821917806</v>
      </c>
      <c r="F30" s="7">
        <v>25693</v>
      </c>
      <c r="G30" s="7">
        <v>15.0474484458347</v>
      </c>
      <c r="H30" s="7">
        <v>9.4309225750254893</v>
      </c>
    </row>
    <row r="31" spans="1:8" x14ac:dyDescent="0.25">
      <c r="A31" s="7">
        <v>1</v>
      </c>
      <c r="B31" s="7">
        <v>30</v>
      </c>
      <c r="C31" s="7">
        <v>595.5</v>
      </c>
      <c r="D31" s="7" t="s">
        <v>27</v>
      </c>
      <c r="E31" s="7">
        <v>40.986301369863</v>
      </c>
      <c r="F31" s="7">
        <v>14960</v>
      </c>
      <c r="G31" s="7">
        <v>8.5907093228587303</v>
      </c>
      <c r="H31" s="7">
        <v>6.0765361102664697</v>
      </c>
    </row>
    <row r="32" spans="1:8" x14ac:dyDescent="0.25">
      <c r="A32" s="7">
        <v>1</v>
      </c>
      <c r="B32" s="7">
        <v>31</v>
      </c>
      <c r="C32" s="7">
        <v>198.8</v>
      </c>
      <c r="D32" s="7" t="s">
        <v>28</v>
      </c>
      <c r="E32" s="7">
        <v>58.808219178082197</v>
      </c>
      <c r="F32" s="7">
        <v>21465</v>
      </c>
      <c r="G32" s="7">
        <v>11.6072194859465</v>
      </c>
      <c r="H32" s="7">
        <v>7.5011579109715196</v>
      </c>
    </row>
    <row r="33" spans="1:8" x14ac:dyDescent="0.25">
      <c r="A33" s="7">
        <v>1</v>
      </c>
      <c r="B33" s="7">
        <v>32</v>
      </c>
      <c r="C33" s="7">
        <v>462.3</v>
      </c>
      <c r="D33" s="7" t="s">
        <v>28</v>
      </c>
      <c r="E33" s="7">
        <v>44.4986301369863</v>
      </c>
      <c r="F33" s="7">
        <v>16242</v>
      </c>
      <c r="G33" s="7">
        <v>9.6011973691889807</v>
      </c>
      <c r="H33" s="7">
        <v>6.9442102518509303</v>
      </c>
    </row>
    <row r="34" spans="1:8" x14ac:dyDescent="0.25">
      <c r="A34" s="7">
        <v>1</v>
      </c>
      <c r="B34" s="7">
        <v>33</v>
      </c>
      <c r="C34" s="7">
        <v>130.37</v>
      </c>
      <c r="D34" s="7" t="s">
        <v>29</v>
      </c>
      <c r="E34" s="7">
        <v>70.158904109589102</v>
      </c>
      <c r="F34" s="7">
        <v>25608</v>
      </c>
      <c r="G34" s="7">
        <v>12.7772408375567</v>
      </c>
      <c r="H34" s="7">
        <v>8.8884715063205704</v>
      </c>
    </row>
    <row r="35" spans="1:8" x14ac:dyDescent="0.25">
      <c r="A35" s="7">
        <v>1</v>
      </c>
      <c r="B35" s="7">
        <v>34</v>
      </c>
      <c r="C35" s="7">
        <v>1384.8</v>
      </c>
      <c r="D35" s="7" t="s">
        <v>27</v>
      </c>
      <c r="E35" s="7">
        <v>25.9671232876712</v>
      </c>
      <c r="F35" s="7">
        <v>9478</v>
      </c>
      <c r="G35" s="7">
        <v>6.5885402690014896</v>
      </c>
      <c r="H35" s="7">
        <v>5.0394906314491603</v>
      </c>
    </row>
    <row r="36" spans="1:8" x14ac:dyDescent="0.25">
      <c r="A36" s="7">
        <v>1</v>
      </c>
      <c r="B36" s="7">
        <v>35</v>
      </c>
      <c r="C36" s="7">
        <v>167.93</v>
      </c>
      <c r="D36" s="7" t="s">
        <v>28</v>
      </c>
      <c r="E36" s="7">
        <v>66.463013698630107</v>
      </c>
      <c r="F36" s="7">
        <v>24259</v>
      </c>
      <c r="G36" s="7">
        <v>12.768936828512</v>
      </c>
      <c r="H36" s="7">
        <v>7.0192273608026197</v>
      </c>
    </row>
    <row r="37" spans="1:8" x14ac:dyDescent="0.25">
      <c r="A37" s="7">
        <v>1</v>
      </c>
      <c r="B37" s="7">
        <v>36</v>
      </c>
      <c r="C37" s="7">
        <v>78.569999999999993</v>
      </c>
      <c r="D37" s="7" t="s">
        <v>29</v>
      </c>
      <c r="E37" s="7">
        <v>77.556164383561693</v>
      </c>
      <c r="F37" s="7">
        <v>28308</v>
      </c>
      <c r="G37" s="7">
        <v>13.7879650049434</v>
      </c>
      <c r="H37" s="7">
        <v>9.7169203374508708</v>
      </c>
    </row>
    <row r="38" spans="1:8" x14ac:dyDescent="0.25">
      <c r="A38" s="7">
        <v>1</v>
      </c>
      <c r="B38" s="7">
        <v>37</v>
      </c>
      <c r="C38" s="7">
        <v>1169.73</v>
      </c>
      <c r="D38" s="7" t="s">
        <v>27</v>
      </c>
      <c r="E38" s="7">
        <v>29.057534246575301</v>
      </c>
      <c r="F38" s="7">
        <v>10606</v>
      </c>
      <c r="G38" s="7">
        <v>9.4025733229349306</v>
      </c>
      <c r="H38" s="7">
        <v>6.55744194706838</v>
      </c>
    </row>
    <row r="39" spans="1:8" x14ac:dyDescent="0.25">
      <c r="A39" s="7">
        <v>1</v>
      </c>
      <c r="B39" s="7">
        <v>38</v>
      </c>
      <c r="C39" s="7">
        <v>66.37</v>
      </c>
      <c r="D39" s="7" t="s">
        <v>29</v>
      </c>
      <c r="E39" s="7">
        <v>82.465753424657507</v>
      </c>
      <c r="F39" s="7">
        <v>30100</v>
      </c>
      <c r="G39" s="7">
        <v>16.425816674252399</v>
      </c>
      <c r="H39" s="7">
        <v>10.6308665372503</v>
      </c>
    </row>
    <row r="40" spans="1:8" x14ac:dyDescent="0.25">
      <c r="A40" s="7">
        <v>1</v>
      </c>
      <c r="B40" s="7">
        <v>39</v>
      </c>
      <c r="C40" s="7">
        <v>503.01</v>
      </c>
      <c r="D40" s="7" t="s">
        <v>27</v>
      </c>
      <c r="E40" s="7">
        <v>44.4958904109589</v>
      </c>
      <c r="F40" s="7">
        <v>16241</v>
      </c>
      <c r="G40" s="7">
        <v>12.459907035181701</v>
      </c>
      <c r="H40" s="7">
        <v>7.5899351917141296</v>
      </c>
    </row>
    <row r="41" spans="1:8" x14ac:dyDescent="0.25">
      <c r="A41" s="7">
        <v>1</v>
      </c>
      <c r="B41" s="7">
        <v>40</v>
      </c>
      <c r="C41" s="7">
        <v>1272.73</v>
      </c>
      <c r="D41" s="7" t="s">
        <v>27</v>
      </c>
      <c r="E41" s="7">
        <v>29.638356164383602</v>
      </c>
      <c r="F41" s="7">
        <v>10818</v>
      </c>
      <c r="G41" s="7">
        <v>7.35041951082989</v>
      </c>
      <c r="H41" s="7">
        <v>5.3922613686720799</v>
      </c>
    </row>
    <row r="42" spans="1:8" x14ac:dyDescent="0.25">
      <c r="A42" s="7">
        <v>1</v>
      </c>
      <c r="B42" s="7">
        <v>41</v>
      </c>
      <c r="C42" s="7">
        <v>2111.73</v>
      </c>
      <c r="D42" s="7" t="s">
        <v>27</v>
      </c>
      <c r="E42" s="7">
        <v>22.424657534246599</v>
      </c>
      <c r="F42" s="7">
        <v>8185</v>
      </c>
      <c r="G42" s="7">
        <v>7.5570769697551503</v>
      </c>
      <c r="H42" s="7">
        <v>5.5516600718494802</v>
      </c>
    </row>
    <row r="43" spans="1:8" x14ac:dyDescent="0.25">
      <c r="A43" s="7">
        <v>1</v>
      </c>
      <c r="B43" s="7">
        <v>42</v>
      </c>
      <c r="C43" s="7">
        <v>704.99</v>
      </c>
      <c r="D43" s="7" t="s">
        <v>27</v>
      </c>
      <c r="E43" s="7">
        <v>36.9890410958904</v>
      </c>
      <c r="F43" s="7">
        <v>13501</v>
      </c>
      <c r="G43" s="7">
        <v>8.8846391703216199</v>
      </c>
      <c r="H43" s="7">
        <v>6.2468584147540698</v>
      </c>
    </row>
    <row r="44" spans="1:8" x14ac:dyDescent="0.25">
      <c r="A44" s="7">
        <v>1</v>
      </c>
      <c r="B44" s="7">
        <v>43</v>
      </c>
      <c r="C44" s="7">
        <v>358.9</v>
      </c>
      <c r="D44" s="7" t="s">
        <v>28</v>
      </c>
      <c r="E44" s="7">
        <v>51.734246575342503</v>
      </c>
      <c r="F44" s="7">
        <v>18883</v>
      </c>
      <c r="G44" s="7">
        <v>10.280926216080299</v>
      </c>
      <c r="H44" s="7">
        <v>7.9054476231734201</v>
      </c>
    </row>
    <row r="45" spans="1:8" x14ac:dyDescent="0.25">
      <c r="A45" s="7">
        <v>1</v>
      </c>
      <c r="B45" s="7">
        <v>44</v>
      </c>
      <c r="C45" s="7">
        <v>908.1</v>
      </c>
      <c r="D45" s="7" t="s">
        <v>27</v>
      </c>
      <c r="E45" s="7">
        <v>29.665753424657499</v>
      </c>
      <c r="F45" s="7">
        <v>10828</v>
      </c>
      <c r="G45" s="7">
        <v>9.7648596749799594</v>
      </c>
      <c r="H45" s="7">
        <v>6.6144949238942701</v>
      </c>
    </row>
    <row r="46" spans="1:8" x14ac:dyDescent="0.25">
      <c r="A46" s="7">
        <v>1</v>
      </c>
      <c r="B46" s="7">
        <v>45</v>
      </c>
      <c r="C46" s="7">
        <v>61</v>
      </c>
      <c r="D46" s="7" t="s">
        <v>29</v>
      </c>
      <c r="E46" s="7">
        <v>80.726027397260296</v>
      </c>
      <c r="F46" s="7">
        <v>29465</v>
      </c>
      <c r="G46" s="7">
        <v>14.9133626353404</v>
      </c>
      <c r="H46" s="7">
        <v>9.9001632950877099</v>
      </c>
    </row>
    <row r="47" spans="1:8" x14ac:dyDescent="0.25">
      <c r="A47" s="7">
        <v>1</v>
      </c>
      <c r="B47" s="7">
        <v>46</v>
      </c>
      <c r="C47" s="7">
        <v>216.31</v>
      </c>
      <c r="D47" s="7" t="s">
        <v>28</v>
      </c>
      <c r="E47" s="7">
        <v>59.158904109589002</v>
      </c>
      <c r="F47" s="7">
        <v>21593</v>
      </c>
      <c r="G47" s="7">
        <v>12.7292170628428</v>
      </c>
      <c r="H47" s="7">
        <v>7.8340923026590596</v>
      </c>
    </row>
    <row r="48" spans="1:8" x14ac:dyDescent="0.25">
      <c r="A48" s="7">
        <v>1</v>
      </c>
      <c r="B48" s="7">
        <v>47</v>
      </c>
      <c r="C48" s="7">
        <v>1940.83</v>
      </c>
      <c r="D48" s="7" t="s">
        <v>27</v>
      </c>
      <c r="E48" s="7">
        <v>22.5150684931507</v>
      </c>
      <c r="F48" s="7">
        <v>8218</v>
      </c>
      <c r="G48" s="7">
        <v>6.1169522341192</v>
      </c>
      <c r="H48" s="7">
        <v>4.4719888932465004</v>
      </c>
    </row>
    <row r="49" spans="1:8" x14ac:dyDescent="0.25">
      <c r="A49" s="7">
        <v>1</v>
      </c>
      <c r="B49" s="7">
        <v>48</v>
      </c>
      <c r="C49" s="7">
        <v>329.86</v>
      </c>
      <c r="D49" s="7" t="s">
        <v>28</v>
      </c>
      <c r="E49" s="7">
        <v>52.106849315068501</v>
      </c>
      <c r="F49" s="7">
        <v>19019</v>
      </c>
      <c r="G49" s="7">
        <v>9.9524910628659295</v>
      </c>
      <c r="H49" s="7">
        <v>6.8393177863030896</v>
      </c>
    </row>
    <row r="50" spans="1:8" x14ac:dyDescent="0.25">
      <c r="A50" s="7">
        <v>1</v>
      </c>
      <c r="B50" s="7">
        <v>49</v>
      </c>
      <c r="C50" s="7">
        <v>988.06</v>
      </c>
      <c r="D50" s="7" t="s">
        <v>27</v>
      </c>
      <c r="E50" s="7">
        <v>29.654794520547998</v>
      </c>
      <c r="F50" s="7">
        <v>10824</v>
      </c>
      <c r="G50" s="7">
        <v>6.9706486546109598</v>
      </c>
      <c r="H50" s="7">
        <v>5.1082002646380804</v>
      </c>
    </row>
    <row r="51" spans="1:8" x14ac:dyDescent="0.25">
      <c r="A51" s="7">
        <v>1</v>
      </c>
      <c r="B51" s="7">
        <v>50</v>
      </c>
      <c r="C51" s="7">
        <v>154.34</v>
      </c>
      <c r="D51" s="7" t="s">
        <v>29</v>
      </c>
      <c r="E51" s="7">
        <v>66.271232876712304</v>
      </c>
      <c r="F51" s="7">
        <v>24189</v>
      </c>
      <c r="G51" s="7">
        <v>13.001451644483099</v>
      </c>
      <c r="H51" s="7">
        <v>7.9698917662467403</v>
      </c>
    </row>
    <row r="52" spans="1:8" x14ac:dyDescent="0.25">
      <c r="A52" s="7">
        <v>2</v>
      </c>
      <c r="B52" s="7">
        <v>1</v>
      </c>
      <c r="C52" s="7">
        <v>2297.6799999999998</v>
      </c>
      <c r="D52" s="7" t="s">
        <v>27</v>
      </c>
      <c r="E52" s="7">
        <v>31.353424657534301</v>
      </c>
      <c r="F52" s="7">
        <v>11444</v>
      </c>
      <c r="G52" s="7">
        <v>9.1135730931729402</v>
      </c>
      <c r="H52" s="7">
        <v>6.1025080236601497</v>
      </c>
    </row>
    <row r="53" spans="1:8" x14ac:dyDescent="0.25">
      <c r="A53" s="7">
        <v>2</v>
      </c>
      <c r="B53" s="7">
        <v>2</v>
      </c>
      <c r="C53" s="7">
        <v>235.35</v>
      </c>
      <c r="D53" s="7" t="s">
        <v>28</v>
      </c>
      <c r="E53" s="7">
        <v>83.698630136986296</v>
      </c>
      <c r="F53" s="7">
        <v>30550</v>
      </c>
      <c r="G53" s="7">
        <v>14.1606204835697</v>
      </c>
      <c r="H53" s="7">
        <v>8.8948248029894703</v>
      </c>
    </row>
    <row r="54" spans="1:8" x14ac:dyDescent="0.25">
      <c r="A54" s="7">
        <v>2</v>
      </c>
      <c r="B54" s="7">
        <v>3</v>
      </c>
      <c r="C54" s="7">
        <v>767.06</v>
      </c>
      <c r="D54" s="7" t="s">
        <v>27</v>
      </c>
      <c r="E54" s="7">
        <v>52.739726027397303</v>
      </c>
      <c r="F54" s="7">
        <v>19250</v>
      </c>
      <c r="G54" s="7">
        <v>11.2908175486695</v>
      </c>
      <c r="H54" s="7">
        <v>7.3904346772301004</v>
      </c>
    </row>
    <row r="55" spans="1:8" x14ac:dyDescent="0.25">
      <c r="A55" s="7">
        <v>2</v>
      </c>
      <c r="B55" s="7">
        <v>4</v>
      </c>
      <c r="C55" s="7">
        <v>1783.76</v>
      </c>
      <c r="D55" s="7" t="s">
        <v>27</v>
      </c>
      <c r="E55" s="7">
        <v>31.578082191780801</v>
      </c>
      <c r="F55" s="7">
        <v>11526</v>
      </c>
      <c r="G55" s="7">
        <v>7.6270807160044702</v>
      </c>
      <c r="H55" s="7">
        <v>5.4020508677263503</v>
      </c>
    </row>
    <row r="56" spans="1:8" x14ac:dyDescent="0.25">
      <c r="A56" s="7">
        <v>2</v>
      </c>
      <c r="B56" s="7">
        <v>5</v>
      </c>
      <c r="C56" s="7">
        <v>2500</v>
      </c>
      <c r="D56" s="7" t="s">
        <v>27</v>
      </c>
      <c r="E56" s="7">
        <v>26.2246575342466</v>
      </c>
      <c r="F56" s="7">
        <v>9572</v>
      </c>
      <c r="G56" s="7">
        <v>7.9581066854022904</v>
      </c>
      <c r="H56" s="7">
        <v>4.9551024878361902</v>
      </c>
    </row>
    <row r="57" spans="1:8" x14ac:dyDescent="0.25">
      <c r="A57" s="7">
        <v>2</v>
      </c>
      <c r="B57" s="7">
        <v>6</v>
      </c>
      <c r="C57" s="7">
        <v>278.63</v>
      </c>
      <c r="D57" s="7" t="s">
        <v>28</v>
      </c>
      <c r="E57" s="7">
        <v>84.167123287671203</v>
      </c>
      <c r="F57" s="7">
        <v>30721</v>
      </c>
      <c r="G57" s="7">
        <v>15.255492537317201</v>
      </c>
      <c r="H57" s="7">
        <v>10.6344080449577</v>
      </c>
    </row>
    <row r="58" spans="1:8" x14ac:dyDescent="0.25">
      <c r="A58" s="7">
        <v>2</v>
      </c>
      <c r="B58" s="7">
        <v>7</v>
      </c>
      <c r="C58" s="7">
        <v>256.08</v>
      </c>
      <c r="D58" s="7" t="s">
        <v>28</v>
      </c>
      <c r="E58" s="7">
        <v>83.8</v>
      </c>
      <c r="F58" s="7">
        <v>30587</v>
      </c>
      <c r="G58" s="7">
        <v>14.7249142887907</v>
      </c>
      <c r="H58" s="7">
        <v>9.4962872468671602</v>
      </c>
    </row>
    <row r="59" spans="1:8" x14ac:dyDescent="0.25">
      <c r="A59" s="7">
        <v>2</v>
      </c>
      <c r="B59" s="7">
        <v>8</v>
      </c>
      <c r="C59" s="7">
        <v>85.49</v>
      </c>
      <c r="D59" s="7" t="s">
        <v>29</v>
      </c>
      <c r="E59" s="7">
        <v>109.61095890411001</v>
      </c>
      <c r="F59" s="7">
        <v>40008</v>
      </c>
      <c r="G59" s="7">
        <v>17.5895361545128</v>
      </c>
      <c r="H59" s="7">
        <v>11.211597528524701</v>
      </c>
    </row>
    <row r="60" spans="1:8" x14ac:dyDescent="0.25">
      <c r="A60" s="7">
        <v>2</v>
      </c>
      <c r="B60" s="7">
        <v>9</v>
      </c>
      <c r="C60" s="7">
        <v>303.16000000000003</v>
      </c>
      <c r="D60" s="7" t="s">
        <v>28</v>
      </c>
      <c r="E60" s="7">
        <v>73.060273972602701</v>
      </c>
      <c r="F60" s="7">
        <v>26667</v>
      </c>
      <c r="G60" s="7">
        <v>14.7838180346229</v>
      </c>
      <c r="H60" s="7">
        <v>8.87222822409516</v>
      </c>
    </row>
    <row r="61" spans="1:8" x14ac:dyDescent="0.25">
      <c r="A61" s="7">
        <v>2</v>
      </c>
      <c r="B61" s="7">
        <v>10</v>
      </c>
      <c r="C61" s="7">
        <v>93.02</v>
      </c>
      <c r="D61" s="7" t="s">
        <v>29</v>
      </c>
      <c r="E61" s="7">
        <v>105.295890410959</v>
      </c>
      <c r="F61" s="7">
        <v>38433</v>
      </c>
      <c r="G61" s="7">
        <v>18.2755721134148</v>
      </c>
      <c r="H61" s="7">
        <v>12.236721658774499</v>
      </c>
    </row>
    <row r="62" spans="1:8" x14ac:dyDescent="0.25">
      <c r="A62" s="7">
        <v>2</v>
      </c>
      <c r="B62" s="7">
        <v>11</v>
      </c>
      <c r="C62" s="7">
        <v>101.21</v>
      </c>
      <c r="D62" s="7" t="s">
        <v>29</v>
      </c>
      <c r="E62" s="7">
        <v>100.38904109588999</v>
      </c>
      <c r="F62" s="7">
        <v>36642</v>
      </c>
      <c r="G62" s="7">
        <v>17.274832904756099</v>
      </c>
      <c r="H62" s="7">
        <v>11.2064789140931</v>
      </c>
    </row>
    <row r="63" spans="1:8" x14ac:dyDescent="0.25">
      <c r="A63" s="7">
        <v>2</v>
      </c>
      <c r="B63" s="7">
        <v>12</v>
      </c>
      <c r="C63" s="7">
        <v>110.12</v>
      </c>
      <c r="D63" s="7" t="s">
        <v>29</v>
      </c>
      <c r="E63" s="7">
        <v>99.536986301369893</v>
      </c>
      <c r="F63" s="7">
        <v>36331</v>
      </c>
      <c r="G63" s="7">
        <v>17.265111926171201</v>
      </c>
      <c r="H63" s="7">
        <v>10.5435199599572</v>
      </c>
    </row>
    <row r="64" spans="1:8" x14ac:dyDescent="0.25">
      <c r="A64" s="7">
        <v>2</v>
      </c>
      <c r="B64" s="7">
        <v>13</v>
      </c>
      <c r="C64" s="7">
        <v>47.35</v>
      </c>
      <c r="D64" s="7" t="s">
        <v>29</v>
      </c>
      <c r="E64" s="7">
        <v>120.279452054795</v>
      </c>
      <c r="F64" s="7">
        <v>43902</v>
      </c>
      <c r="G64" s="7">
        <v>16.988599645552501</v>
      </c>
      <c r="H64" s="7">
        <v>11.385992634671</v>
      </c>
    </row>
    <row r="65" spans="1:8" x14ac:dyDescent="0.25">
      <c r="A65" s="7">
        <v>2</v>
      </c>
      <c r="B65" s="7">
        <v>14</v>
      </c>
      <c r="C65" s="7">
        <v>182.71</v>
      </c>
      <c r="D65" s="7" t="s">
        <v>28</v>
      </c>
      <c r="E65" s="7">
        <v>84.065753424657501</v>
      </c>
      <c r="F65" s="7">
        <v>30684</v>
      </c>
      <c r="G65" s="7">
        <v>12.672785736678399</v>
      </c>
      <c r="H65" s="7">
        <v>8.6944338954799498</v>
      </c>
    </row>
    <row r="66" spans="1:8" x14ac:dyDescent="0.25">
      <c r="A66" s="7">
        <v>2</v>
      </c>
      <c r="B66" s="7">
        <v>15</v>
      </c>
      <c r="C66" s="7">
        <v>40</v>
      </c>
      <c r="D66" s="7" t="s">
        <v>29</v>
      </c>
      <c r="E66" s="7">
        <v>125.51780821917799</v>
      </c>
      <c r="F66" s="7">
        <v>45814</v>
      </c>
      <c r="G66" s="7">
        <v>17.973011566464699</v>
      </c>
      <c r="H66" s="7">
        <v>11.191198357725099</v>
      </c>
    </row>
    <row r="67" spans="1:8" x14ac:dyDescent="0.25">
      <c r="A67" s="7">
        <v>2</v>
      </c>
      <c r="B67" s="7">
        <v>16</v>
      </c>
      <c r="C67" s="7">
        <v>1506.73</v>
      </c>
      <c r="D67" s="7" t="s">
        <v>27</v>
      </c>
      <c r="E67" s="7">
        <v>37.076712328767101</v>
      </c>
      <c r="F67" s="7">
        <v>13533</v>
      </c>
      <c r="G67" s="7">
        <v>10.117229725318101</v>
      </c>
      <c r="H67" s="7">
        <v>6.6369260285185598</v>
      </c>
    </row>
    <row r="68" spans="1:8" x14ac:dyDescent="0.25">
      <c r="A68" s="7">
        <v>2</v>
      </c>
      <c r="B68" s="7">
        <v>17</v>
      </c>
      <c r="C68" s="7">
        <v>834.61</v>
      </c>
      <c r="D68" s="7" t="s">
        <v>27</v>
      </c>
      <c r="E68" s="7">
        <v>47.147945205479502</v>
      </c>
      <c r="F68" s="7">
        <v>17209</v>
      </c>
      <c r="G68" s="7">
        <v>11.2702702663995</v>
      </c>
      <c r="H68" s="7">
        <v>7.1440045894760402</v>
      </c>
    </row>
    <row r="69" spans="1:8" x14ac:dyDescent="0.25">
      <c r="A69" s="7">
        <v>2</v>
      </c>
      <c r="B69" s="7">
        <v>18</v>
      </c>
      <c r="C69" s="7">
        <v>51.52</v>
      </c>
      <c r="D69" s="7" t="s">
        <v>29</v>
      </c>
      <c r="E69" s="7">
        <v>121.36164383561599</v>
      </c>
      <c r="F69" s="7">
        <v>44297</v>
      </c>
      <c r="G69" s="7">
        <v>18.192394309225499</v>
      </c>
      <c r="H69" s="7">
        <v>10.910325824629799</v>
      </c>
    </row>
    <row r="70" spans="1:8" x14ac:dyDescent="0.25">
      <c r="A70" s="7">
        <v>2</v>
      </c>
      <c r="B70" s="7">
        <v>19</v>
      </c>
      <c r="C70" s="7">
        <v>547.29999999999995</v>
      </c>
      <c r="D70" s="7" t="s">
        <v>27</v>
      </c>
      <c r="E70" s="7">
        <v>58</v>
      </c>
      <c r="F70" s="7">
        <v>21170</v>
      </c>
      <c r="G70" s="7">
        <v>12.3537019255819</v>
      </c>
      <c r="H70" s="7">
        <v>7.5609892230274998</v>
      </c>
    </row>
    <row r="71" spans="1:8" x14ac:dyDescent="0.25">
      <c r="A71" s="7">
        <v>2</v>
      </c>
      <c r="B71" s="7">
        <v>20</v>
      </c>
      <c r="C71" s="7">
        <v>424.89</v>
      </c>
      <c r="D71" s="7" t="s">
        <v>28</v>
      </c>
      <c r="E71" s="7">
        <v>68.323287671232904</v>
      </c>
      <c r="F71" s="7">
        <v>24938</v>
      </c>
      <c r="G71" s="7">
        <v>10.821467401089899</v>
      </c>
      <c r="H71" s="7">
        <v>7.4789304410269404</v>
      </c>
    </row>
    <row r="72" spans="1:8" x14ac:dyDescent="0.25">
      <c r="A72" s="7">
        <v>2</v>
      </c>
      <c r="B72" s="7">
        <v>21</v>
      </c>
      <c r="C72" s="7">
        <v>647.92999999999995</v>
      </c>
      <c r="D72" s="7" t="s">
        <v>27</v>
      </c>
      <c r="E72" s="7">
        <v>57.227397260274003</v>
      </c>
      <c r="F72" s="7">
        <v>20888</v>
      </c>
      <c r="G72" s="7">
        <v>13.9117929741416</v>
      </c>
      <c r="H72" s="7">
        <v>8.4643754166496805</v>
      </c>
    </row>
    <row r="73" spans="1:8" x14ac:dyDescent="0.25">
      <c r="A73" s="7">
        <v>2</v>
      </c>
      <c r="B73" s="7">
        <v>22</v>
      </c>
      <c r="C73" s="7">
        <v>72.209999999999994</v>
      </c>
      <c r="D73" s="7" t="s">
        <v>29</v>
      </c>
      <c r="E73" s="7">
        <v>114.44109589041101</v>
      </c>
      <c r="F73" s="7">
        <v>41771</v>
      </c>
      <c r="G73" s="7">
        <v>14.785369216125201</v>
      </c>
      <c r="H73" s="7">
        <v>11.000896760935699</v>
      </c>
    </row>
    <row r="74" spans="1:8" x14ac:dyDescent="0.25">
      <c r="A74" s="7">
        <v>2</v>
      </c>
      <c r="B74" s="7">
        <v>23</v>
      </c>
      <c r="C74" s="7">
        <v>1075.06</v>
      </c>
      <c r="D74" s="7" t="s">
        <v>27</v>
      </c>
      <c r="E74" s="7">
        <v>41.9808219178082</v>
      </c>
      <c r="F74" s="7">
        <v>15323</v>
      </c>
      <c r="G74" s="7">
        <v>9.7656914295399506</v>
      </c>
      <c r="H74" s="7">
        <v>6.33433696717643</v>
      </c>
    </row>
    <row r="75" spans="1:8" x14ac:dyDescent="0.25">
      <c r="A75" s="7">
        <v>2</v>
      </c>
      <c r="B75" s="7">
        <v>24</v>
      </c>
      <c r="C75" s="7">
        <v>141.85</v>
      </c>
      <c r="D75" s="7" t="s">
        <v>29</v>
      </c>
      <c r="E75" s="7">
        <v>94.424657534246606</v>
      </c>
      <c r="F75" s="7">
        <v>34465</v>
      </c>
      <c r="G75" s="7">
        <v>14.9628940635749</v>
      </c>
      <c r="H75" s="7">
        <v>9.1540901328405209</v>
      </c>
    </row>
    <row r="76" spans="1:8" x14ac:dyDescent="0.25">
      <c r="A76" s="7">
        <v>2</v>
      </c>
      <c r="B76" s="7">
        <v>25</v>
      </c>
      <c r="C76" s="7">
        <v>56.06</v>
      </c>
      <c r="D76" s="7" t="s">
        <v>29</v>
      </c>
      <c r="E76" s="7">
        <v>114.276712328767</v>
      </c>
      <c r="F76" s="7">
        <v>41711</v>
      </c>
      <c r="G76" s="7">
        <v>18.6392052226755</v>
      </c>
      <c r="H76" s="7">
        <v>12.796974684213501</v>
      </c>
    </row>
    <row r="77" spans="1:8" x14ac:dyDescent="0.25">
      <c r="A77" s="7">
        <v>2</v>
      </c>
      <c r="B77" s="7">
        <v>26</v>
      </c>
      <c r="C77" s="7">
        <v>390.5</v>
      </c>
      <c r="D77" s="7" t="s">
        <v>28</v>
      </c>
      <c r="E77" s="7">
        <v>68.947945205479499</v>
      </c>
      <c r="F77" s="7">
        <v>25166</v>
      </c>
      <c r="G77" s="7">
        <v>13.588884717456001</v>
      </c>
      <c r="H77" s="7">
        <v>8.8419068606366693</v>
      </c>
    </row>
    <row r="78" spans="1:8" x14ac:dyDescent="0.25">
      <c r="A78" s="7">
        <v>2</v>
      </c>
      <c r="B78" s="7">
        <v>27</v>
      </c>
      <c r="C78" s="7">
        <v>1639.41</v>
      </c>
      <c r="D78" s="7" t="s">
        <v>27</v>
      </c>
      <c r="E78" s="7">
        <v>31.7506849315069</v>
      </c>
      <c r="F78" s="7">
        <v>11589</v>
      </c>
      <c r="G78" s="7">
        <v>6.9158480069359998</v>
      </c>
      <c r="H78" s="7">
        <v>5.3590854671309396</v>
      </c>
    </row>
    <row r="79" spans="1:8" x14ac:dyDescent="0.25">
      <c r="A79" s="7">
        <v>2</v>
      </c>
      <c r="B79" s="7">
        <v>28</v>
      </c>
      <c r="C79" s="7">
        <v>43.52</v>
      </c>
      <c r="D79" s="7" t="s">
        <v>29</v>
      </c>
      <c r="E79" s="7">
        <v>124.819178082192</v>
      </c>
      <c r="F79" s="7">
        <v>45559</v>
      </c>
      <c r="G79" s="7">
        <v>19.522032954180698</v>
      </c>
      <c r="H79" s="7">
        <v>12.315735410830399</v>
      </c>
    </row>
    <row r="80" spans="1:8" x14ac:dyDescent="0.25">
      <c r="A80" s="7">
        <v>2</v>
      </c>
      <c r="B80" s="7">
        <v>29</v>
      </c>
      <c r="C80" s="7">
        <v>119.82</v>
      </c>
      <c r="D80" s="7" t="s">
        <v>29</v>
      </c>
      <c r="E80" s="7">
        <v>99.254794520548003</v>
      </c>
      <c r="F80" s="7">
        <v>36228</v>
      </c>
      <c r="G80" s="7">
        <v>17.101042429451901</v>
      </c>
      <c r="H80" s="7">
        <v>10.769060527836601</v>
      </c>
    </row>
    <row r="81" spans="1:8" x14ac:dyDescent="0.25">
      <c r="A81" s="7">
        <v>2</v>
      </c>
      <c r="B81" s="7">
        <v>30</v>
      </c>
      <c r="C81" s="7">
        <v>595.5</v>
      </c>
      <c r="D81" s="7" t="s">
        <v>27</v>
      </c>
      <c r="E81" s="7">
        <v>58.0027397260274</v>
      </c>
      <c r="F81" s="7">
        <v>21171</v>
      </c>
      <c r="G81" s="7">
        <v>10.6743034853463</v>
      </c>
      <c r="H81" s="7">
        <v>8.5106958158969697</v>
      </c>
    </row>
    <row r="82" spans="1:8" x14ac:dyDescent="0.25">
      <c r="A82" s="7">
        <v>2</v>
      </c>
      <c r="B82" s="7">
        <v>31</v>
      </c>
      <c r="C82" s="7">
        <v>198.8</v>
      </c>
      <c r="D82" s="7" t="s">
        <v>28</v>
      </c>
      <c r="E82" s="7">
        <v>83.531506849315093</v>
      </c>
      <c r="F82" s="7">
        <v>30489</v>
      </c>
      <c r="G82" s="7">
        <v>14.7642850728498</v>
      </c>
      <c r="H82" s="7">
        <v>8.7302144255630694</v>
      </c>
    </row>
    <row r="83" spans="1:8" x14ac:dyDescent="0.25">
      <c r="A83" s="7">
        <v>2</v>
      </c>
      <c r="B83" s="7">
        <v>32</v>
      </c>
      <c r="C83" s="7">
        <v>462.3</v>
      </c>
      <c r="D83" s="7" t="s">
        <v>28</v>
      </c>
      <c r="E83" s="7">
        <v>63.334246575342497</v>
      </c>
      <c r="F83" s="7">
        <v>23117</v>
      </c>
      <c r="G83" s="7">
        <v>14.9096017892369</v>
      </c>
      <c r="H83" s="7">
        <v>9.8023081968063099</v>
      </c>
    </row>
    <row r="84" spans="1:8" x14ac:dyDescent="0.25">
      <c r="A84" s="7">
        <v>2</v>
      </c>
      <c r="B84" s="7">
        <v>33</v>
      </c>
      <c r="C84" s="7">
        <v>130.37</v>
      </c>
      <c r="D84" s="7" t="s">
        <v>29</v>
      </c>
      <c r="E84" s="7">
        <v>98.9616438356164</v>
      </c>
      <c r="F84" s="7">
        <v>36121</v>
      </c>
      <c r="G84" s="7">
        <v>16.956409643497299</v>
      </c>
      <c r="H84" s="7">
        <v>10.536403741431201</v>
      </c>
    </row>
    <row r="85" spans="1:8" x14ac:dyDescent="0.25">
      <c r="A85" s="7">
        <v>2</v>
      </c>
      <c r="B85" s="7">
        <v>34</v>
      </c>
      <c r="C85" s="7">
        <v>1384.8</v>
      </c>
      <c r="D85" s="7" t="s">
        <v>27</v>
      </c>
      <c r="E85" s="7">
        <v>36.693150684931503</v>
      </c>
      <c r="F85" s="7">
        <v>13393</v>
      </c>
      <c r="G85" s="7">
        <v>9.1920827916601109</v>
      </c>
      <c r="H85" s="7">
        <v>5.9039593008707101</v>
      </c>
    </row>
    <row r="86" spans="1:8" x14ac:dyDescent="0.25">
      <c r="A86" s="7">
        <v>2</v>
      </c>
      <c r="B86" s="7">
        <v>35</v>
      </c>
      <c r="C86" s="7">
        <v>167.93</v>
      </c>
      <c r="D86" s="7" t="s">
        <v>28</v>
      </c>
      <c r="E86" s="7">
        <v>95.449315068493206</v>
      </c>
      <c r="F86" s="7">
        <v>34839</v>
      </c>
      <c r="G86" s="7">
        <v>15.787812284240299</v>
      </c>
      <c r="H86" s="7">
        <v>9.6452264637661091</v>
      </c>
    </row>
    <row r="87" spans="1:8" x14ac:dyDescent="0.25">
      <c r="A87" s="7">
        <v>2</v>
      </c>
      <c r="B87" s="7">
        <v>36</v>
      </c>
      <c r="C87" s="7">
        <v>78.569999999999993</v>
      </c>
      <c r="D87" s="7" t="s">
        <v>29</v>
      </c>
      <c r="E87" s="7">
        <v>110.054794520548</v>
      </c>
      <c r="F87" s="7">
        <v>40170</v>
      </c>
      <c r="G87" s="7">
        <v>19.3642382223067</v>
      </c>
      <c r="H87" s="7">
        <v>12.2771803524377</v>
      </c>
    </row>
    <row r="88" spans="1:8" x14ac:dyDescent="0.25">
      <c r="A88" s="7">
        <v>2</v>
      </c>
      <c r="B88" s="7">
        <v>37</v>
      </c>
      <c r="C88" s="7">
        <v>1169.73</v>
      </c>
      <c r="D88" s="7" t="s">
        <v>27</v>
      </c>
      <c r="E88" s="7">
        <v>41.852054794520598</v>
      </c>
      <c r="F88" s="7">
        <v>15276</v>
      </c>
      <c r="G88" s="7">
        <v>9.7614340565279001</v>
      </c>
      <c r="H88" s="7">
        <v>6.8401378096438297</v>
      </c>
    </row>
    <row r="89" spans="1:8" x14ac:dyDescent="0.25">
      <c r="A89" s="7">
        <v>2</v>
      </c>
      <c r="B89" s="7">
        <v>38</v>
      </c>
      <c r="C89" s="7">
        <v>66.37</v>
      </c>
      <c r="D89" s="7" t="s">
        <v>29</v>
      </c>
      <c r="E89" s="7">
        <v>114.520547945206</v>
      </c>
      <c r="F89" s="7">
        <v>41800</v>
      </c>
      <c r="G89" s="7">
        <v>17.786169516985801</v>
      </c>
      <c r="H89" s="7">
        <v>11.452812908868101</v>
      </c>
    </row>
    <row r="90" spans="1:8" x14ac:dyDescent="0.25">
      <c r="A90" s="7">
        <v>2</v>
      </c>
      <c r="B90" s="7">
        <v>39</v>
      </c>
      <c r="C90" s="7">
        <v>503.01</v>
      </c>
      <c r="D90" s="7" t="s">
        <v>27</v>
      </c>
      <c r="E90" s="7">
        <v>62.183561643835603</v>
      </c>
      <c r="F90" s="7">
        <v>22697</v>
      </c>
      <c r="G90" s="7">
        <v>10.5704923333822</v>
      </c>
      <c r="H90" s="7">
        <v>7.0470080044076902</v>
      </c>
    </row>
    <row r="91" spans="1:8" x14ac:dyDescent="0.25">
      <c r="A91" s="7">
        <v>2</v>
      </c>
      <c r="B91" s="7">
        <v>40</v>
      </c>
      <c r="C91" s="7">
        <v>1272.73</v>
      </c>
      <c r="D91" s="7" t="s">
        <v>27</v>
      </c>
      <c r="E91" s="7">
        <v>41.895890410958899</v>
      </c>
      <c r="F91" s="7">
        <v>15292</v>
      </c>
      <c r="G91" s="7">
        <v>10.662900349365</v>
      </c>
      <c r="H91" s="7">
        <v>7.1391225580295901</v>
      </c>
    </row>
    <row r="92" spans="1:8" x14ac:dyDescent="0.25">
      <c r="A92" s="7">
        <v>2</v>
      </c>
      <c r="B92" s="7">
        <v>41</v>
      </c>
      <c r="C92" s="7">
        <v>2111.73</v>
      </c>
      <c r="D92" s="7" t="s">
        <v>27</v>
      </c>
      <c r="E92" s="7">
        <v>31.427397260273999</v>
      </c>
      <c r="F92" s="7">
        <v>11471</v>
      </c>
      <c r="G92" s="7">
        <v>8.9156475983221597</v>
      </c>
      <c r="H92" s="7">
        <v>5.5134444074850499</v>
      </c>
    </row>
    <row r="93" spans="1:8" x14ac:dyDescent="0.25">
      <c r="A93" s="7">
        <v>2</v>
      </c>
      <c r="B93" s="7">
        <v>42</v>
      </c>
      <c r="C93" s="7">
        <v>704.99</v>
      </c>
      <c r="D93" s="7" t="s">
        <v>27</v>
      </c>
      <c r="E93" s="7">
        <v>52.682191780821903</v>
      </c>
      <c r="F93" s="7">
        <v>19229</v>
      </c>
      <c r="G93" s="7">
        <v>10.676602788781301</v>
      </c>
      <c r="H93" s="7">
        <v>6.9208921734190501</v>
      </c>
    </row>
    <row r="94" spans="1:8" x14ac:dyDescent="0.25">
      <c r="A94" s="7">
        <v>2</v>
      </c>
      <c r="B94" s="7">
        <v>43</v>
      </c>
      <c r="C94" s="7">
        <v>358.9</v>
      </c>
      <c r="D94" s="7" t="s">
        <v>28</v>
      </c>
      <c r="E94" s="7">
        <v>73.106849315068501</v>
      </c>
      <c r="F94" s="7">
        <v>26684</v>
      </c>
      <c r="G94" s="7">
        <v>13.228323144145101</v>
      </c>
      <c r="H94" s="7">
        <v>8.8331402281487392</v>
      </c>
    </row>
    <row r="95" spans="1:8" x14ac:dyDescent="0.25">
      <c r="A95" s="7">
        <v>2</v>
      </c>
      <c r="B95" s="7">
        <v>44</v>
      </c>
      <c r="C95" s="7">
        <v>908.1</v>
      </c>
      <c r="D95" s="7" t="s">
        <v>27</v>
      </c>
      <c r="E95" s="7">
        <v>41.906849315068499</v>
      </c>
      <c r="F95" s="7">
        <v>15296</v>
      </c>
      <c r="G95" s="7">
        <v>9.0807480785730093</v>
      </c>
      <c r="H95" s="7">
        <v>6.6797027668781297</v>
      </c>
    </row>
    <row r="96" spans="1:8" x14ac:dyDescent="0.25">
      <c r="A96" s="7">
        <v>2</v>
      </c>
      <c r="B96" s="7">
        <v>45</v>
      </c>
      <c r="C96" s="7">
        <v>61</v>
      </c>
      <c r="D96" s="7" t="s">
        <v>29</v>
      </c>
      <c r="E96" s="7">
        <v>115.934246575343</v>
      </c>
      <c r="F96" s="7">
        <v>42316</v>
      </c>
      <c r="G96" s="7">
        <v>18.145283516756901</v>
      </c>
      <c r="H96" s="7">
        <v>12.1367890469778</v>
      </c>
    </row>
    <row r="97" spans="1:8" x14ac:dyDescent="0.25">
      <c r="A97" s="7">
        <v>2</v>
      </c>
      <c r="B97" s="7">
        <v>46</v>
      </c>
      <c r="C97" s="7">
        <v>216.31</v>
      </c>
      <c r="D97" s="7" t="s">
        <v>28</v>
      </c>
      <c r="E97" s="7">
        <v>83.361643835616405</v>
      </c>
      <c r="F97" s="7">
        <v>30427</v>
      </c>
      <c r="G97" s="7">
        <v>13.669932584185901</v>
      </c>
      <c r="H97" s="7">
        <v>8.6437382524369006</v>
      </c>
    </row>
    <row r="98" spans="1:8" x14ac:dyDescent="0.25">
      <c r="A98" s="7">
        <v>2</v>
      </c>
      <c r="B98" s="7">
        <v>47</v>
      </c>
      <c r="C98" s="7">
        <v>1940.83</v>
      </c>
      <c r="D98" s="7" t="s">
        <v>27</v>
      </c>
      <c r="E98" s="7">
        <v>31.4958904109589</v>
      </c>
      <c r="F98" s="7">
        <v>11496</v>
      </c>
      <c r="G98" s="7">
        <v>9.2824243501132706</v>
      </c>
      <c r="H98" s="7">
        <v>6.3309039161402803</v>
      </c>
    </row>
    <row r="99" spans="1:8" x14ac:dyDescent="0.25">
      <c r="A99" s="7">
        <v>2</v>
      </c>
      <c r="B99" s="7">
        <v>48</v>
      </c>
      <c r="C99" s="7">
        <v>329.86</v>
      </c>
      <c r="D99" s="7" t="s">
        <v>28</v>
      </c>
      <c r="E99" s="7">
        <v>73.764383561643797</v>
      </c>
      <c r="F99" s="7">
        <v>26924</v>
      </c>
      <c r="G99" s="7">
        <v>11.800474331895099</v>
      </c>
      <c r="H99" s="7">
        <v>8.0788394863301196</v>
      </c>
    </row>
    <row r="100" spans="1:8" x14ac:dyDescent="0.25">
      <c r="A100" s="7">
        <v>2</v>
      </c>
      <c r="B100" s="7">
        <v>49</v>
      </c>
      <c r="C100" s="7">
        <v>988.06</v>
      </c>
      <c r="D100" s="7" t="s">
        <v>27</v>
      </c>
      <c r="E100" s="7">
        <v>41.687671232876703</v>
      </c>
      <c r="F100" s="7">
        <v>15216</v>
      </c>
      <c r="G100" s="7">
        <v>8.9429897915545595</v>
      </c>
      <c r="H100" s="7">
        <v>6.13473433348884</v>
      </c>
    </row>
    <row r="101" spans="1:8" x14ac:dyDescent="0.25">
      <c r="A101" s="7">
        <v>2</v>
      </c>
      <c r="B101" s="7">
        <v>50</v>
      </c>
      <c r="C101" s="7">
        <v>154.34</v>
      </c>
      <c r="D101" s="7" t="s">
        <v>29</v>
      </c>
      <c r="E101" s="7">
        <v>94.219178082191803</v>
      </c>
      <c r="F101" s="7">
        <v>34390</v>
      </c>
      <c r="G101" s="7">
        <v>16.439885279346999</v>
      </c>
      <c r="H101" s="7">
        <v>9.5712908537911208</v>
      </c>
    </row>
    <row r="102" spans="1:8" x14ac:dyDescent="0.25">
      <c r="A102" s="7">
        <v>3</v>
      </c>
      <c r="B102" s="7">
        <v>1</v>
      </c>
      <c r="C102" s="7">
        <v>2297.6799999999998</v>
      </c>
      <c r="D102" s="7" t="s">
        <v>27</v>
      </c>
      <c r="E102" s="7">
        <v>28.183561643835599</v>
      </c>
      <c r="F102" s="7">
        <v>10287</v>
      </c>
      <c r="G102" s="7">
        <v>6.4096499155674502</v>
      </c>
      <c r="H102" s="7">
        <v>4.9322038044747298</v>
      </c>
    </row>
    <row r="103" spans="1:8" x14ac:dyDescent="0.25">
      <c r="A103" s="7">
        <v>3</v>
      </c>
      <c r="B103" s="7">
        <v>2</v>
      </c>
      <c r="C103" s="7">
        <v>235.35</v>
      </c>
      <c r="D103" s="7" t="s">
        <v>28</v>
      </c>
      <c r="E103" s="7">
        <v>74.279452054794504</v>
      </c>
      <c r="F103" s="7">
        <v>27112</v>
      </c>
      <c r="G103" s="7">
        <v>12.6476374441733</v>
      </c>
      <c r="H103" s="7">
        <v>7.6779847455959898</v>
      </c>
    </row>
    <row r="104" spans="1:8" x14ac:dyDescent="0.25">
      <c r="A104" s="7">
        <v>3</v>
      </c>
      <c r="B104" s="7">
        <v>3</v>
      </c>
      <c r="C104" s="7">
        <v>767.06</v>
      </c>
      <c r="D104" s="7" t="s">
        <v>27</v>
      </c>
      <c r="E104" s="7">
        <v>46.756164383561703</v>
      </c>
      <c r="F104" s="7">
        <v>17066</v>
      </c>
      <c r="G104" s="7">
        <v>11.4567832929198</v>
      </c>
      <c r="H104" s="7">
        <v>8.1873134688726896</v>
      </c>
    </row>
    <row r="105" spans="1:8" x14ac:dyDescent="0.25">
      <c r="A105" s="7">
        <v>3</v>
      </c>
      <c r="B105" s="7">
        <v>4</v>
      </c>
      <c r="C105" s="7">
        <v>1783.76</v>
      </c>
      <c r="D105" s="7" t="s">
        <v>27</v>
      </c>
      <c r="E105" s="7">
        <v>28.142465753424698</v>
      </c>
      <c r="F105" s="7">
        <v>10272</v>
      </c>
      <c r="G105" s="7">
        <v>8.1003250039497203</v>
      </c>
      <c r="H105" s="7">
        <v>5.5841638120128101</v>
      </c>
    </row>
    <row r="106" spans="1:8" x14ac:dyDescent="0.25">
      <c r="A106" s="7">
        <v>3</v>
      </c>
      <c r="B106" s="7">
        <v>5</v>
      </c>
      <c r="C106" s="7">
        <v>2500</v>
      </c>
      <c r="D106" s="7" t="s">
        <v>27</v>
      </c>
      <c r="E106" s="7">
        <v>23.356164383561602</v>
      </c>
      <c r="F106" s="7">
        <v>8525</v>
      </c>
      <c r="G106" s="7">
        <v>5.9492598920587199</v>
      </c>
      <c r="H106" s="7">
        <v>4.4318762437736501</v>
      </c>
    </row>
    <row r="107" spans="1:8" x14ac:dyDescent="0.25">
      <c r="A107" s="7">
        <v>3</v>
      </c>
      <c r="B107" s="7">
        <v>6</v>
      </c>
      <c r="C107" s="7">
        <v>278.63</v>
      </c>
      <c r="D107" s="7" t="s">
        <v>28</v>
      </c>
      <c r="E107" s="7">
        <v>74.273972602739704</v>
      </c>
      <c r="F107" s="7">
        <v>27110</v>
      </c>
      <c r="G107" s="7">
        <v>12.8346275224763</v>
      </c>
      <c r="H107" s="7">
        <v>7.6082060357451198</v>
      </c>
    </row>
    <row r="108" spans="1:8" x14ac:dyDescent="0.25">
      <c r="A108" s="7">
        <v>3</v>
      </c>
      <c r="B108" s="7">
        <v>7</v>
      </c>
      <c r="C108" s="7">
        <v>256.08</v>
      </c>
      <c r="D108" s="7" t="s">
        <v>28</v>
      </c>
      <c r="E108" s="7">
        <v>74.534246575342493</v>
      </c>
      <c r="F108" s="7">
        <v>27205</v>
      </c>
      <c r="G108" s="7">
        <v>13.2346378054112</v>
      </c>
      <c r="H108" s="7">
        <v>8.0723306705713291</v>
      </c>
    </row>
    <row r="109" spans="1:8" x14ac:dyDescent="0.25">
      <c r="A109" s="7">
        <v>3</v>
      </c>
      <c r="B109" s="7">
        <v>8</v>
      </c>
      <c r="C109" s="7">
        <v>85.49</v>
      </c>
      <c r="D109" s="7" t="s">
        <v>29</v>
      </c>
      <c r="E109" s="7">
        <v>97.531506849315093</v>
      </c>
      <c r="F109" s="7">
        <v>35599</v>
      </c>
      <c r="G109" s="7">
        <v>16.943823880749701</v>
      </c>
      <c r="H109" s="7">
        <v>9.7365635431559401</v>
      </c>
    </row>
    <row r="110" spans="1:8" x14ac:dyDescent="0.25">
      <c r="A110" s="7">
        <v>3</v>
      </c>
      <c r="B110" s="7">
        <v>9</v>
      </c>
      <c r="C110" s="7">
        <v>303.16000000000003</v>
      </c>
      <c r="D110" s="7" t="s">
        <v>28</v>
      </c>
      <c r="E110" s="7">
        <v>65.0465753424658</v>
      </c>
      <c r="F110" s="7">
        <v>23742</v>
      </c>
      <c r="G110" s="7">
        <v>11.4997870729576</v>
      </c>
      <c r="H110" s="7">
        <v>7.6525161961621304</v>
      </c>
    </row>
    <row r="111" spans="1:8" x14ac:dyDescent="0.25">
      <c r="A111" s="7">
        <v>3</v>
      </c>
      <c r="B111" s="7">
        <v>10</v>
      </c>
      <c r="C111" s="7">
        <v>93.02</v>
      </c>
      <c r="D111" s="7" t="s">
        <v>29</v>
      </c>
      <c r="E111" s="7">
        <v>93.534246575342493</v>
      </c>
      <c r="F111" s="7">
        <v>34140</v>
      </c>
      <c r="G111" s="7">
        <v>17.782284086393201</v>
      </c>
      <c r="H111" s="7">
        <v>10.209877135446099</v>
      </c>
    </row>
    <row r="112" spans="1:8" x14ac:dyDescent="0.25">
      <c r="A112" s="7">
        <v>3</v>
      </c>
      <c r="B112" s="7">
        <v>11</v>
      </c>
      <c r="C112" s="7">
        <v>101.21</v>
      </c>
      <c r="D112" s="7" t="s">
        <v>29</v>
      </c>
      <c r="E112" s="7">
        <v>87.9808219178082</v>
      </c>
      <c r="F112" s="7">
        <v>32113</v>
      </c>
      <c r="G112" s="7">
        <v>15.8553053303608</v>
      </c>
      <c r="H112" s="7">
        <v>9.8211828907031293</v>
      </c>
    </row>
    <row r="113" spans="1:8" x14ac:dyDescent="0.25">
      <c r="A113" s="7">
        <v>3</v>
      </c>
      <c r="B113" s="7">
        <v>12</v>
      </c>
      <c r="C113" s="7">
        <v>110.12</v>
      </c>
      <c r="D113" s="7" t="s">
        <v>29</v>
      </c>
      <c r="E113" s="7">
        <v>88.0438356164384</v>
      </c>
      <c r="F113" s="7">
        <v>32136</v>
      </c>
      <c r="G113" s="7">
        <v>15.5249094729206</v>
      </c>
      <c r="H113" s="7">
        <v>10.135244324773099</v>
      </c>
    </row>
    <row r="114" spans="1:8" x14ac:dyDescent="0.25">
      <c r="A114" s="7">
        <v>3</v>
      </c>
      <c r="B114" s="7">
        <v>13</v>
      </c>
      <c r="C114" s="7">
        <v>47.35</v>
      </c>
      <c r="D114" s="7" t="s">
        <v>29</v>
      </c>
      <c r="E114" s="7">
        <v>107.405479452055</v>
      </c>
      <c r="F114" s="7">
        <v>39203</v>
      </c>
      <c r="G114" s="7">
        <v>16.646442180450499</v>
      </c>
      <c r="H114" s="7">
        <v>11.3250007548783</v>
      </c>
    </row>
    <row r="115" spans="1:8" x14ac:dyDescent="0.25">
      <c r="A115" s="7">
        <v>3</v>
      </c>
      <c r="B115" s="7">
        <v>14</v>
      </c>
      <c r="C115" s="7">
        <v>182.71</v>
      </c>
      <c r="D115" s="7" t="s">
        <v>28</v>
      </c>
      <c r="E115" s="7">
        <v>74.580821917808194</v>
      </c>
      <c r="F115" s="7">
        <v>27222</v>
      </c>
      <c r="G115" s="7">
        <v>14.1197991875589</v>
      </c>
      <c r="H115" s="7">
        <v>8.8719212616961105</v>
      </c>
    </row>
    <row r="116" spans="1:8" x14ac:dyDescent="0.25">
      <c r="A116" s="7">
        <v>3</v>
      </c>
      <c r="B116" s="7">
        <v>15</v>
      </c>
      <c r="C116" s="7">
        <v>40</v>
      </c>
      <c r="D116" s="7" t="s">
        <v>29</v>
      </c>
      <c r="E116" s="7">
        <v>112.098630136986</v>
      </c>
      <c r="F116" s="7">
        <v>40916</v>
      </c>
      <c r="G116" s="7">
        <v>16.546489401518802</v>
      </c>
      <c r="H116" s="7">
        <v>11.417171473985301</v>
      </c>
    </row>
    <row r="117" spans="1:8" x14ac:dyDescent="0.25">
      <c r="A117" s="7">
        <v>3</v>
      </c>
      <c r="B117" s="7">
        <v>16</v>
      </c>
      <c r="C117" s="7">
        <v>1506.73</v>
      </c>
      <c r="D117" s="7" t="s">
        <v>27</v>
      </c>
      <c r="E117" s="7">
        <v>32.657534246575402</v>
      </c>
      <c r="F117" s="7">
        <v>11920</v>
      </c>
      <c r="G117" s="7">
        <v>7.9463907915806598</v>
      </c>
      <c r="H117" s="7">
        <v>5.4516362595568797</v>
      </c>
    </row>
    <row r="118" spans="1:8" x14ac:dyDescent="0.25">
      <c r="A118" s="7">
        <v>3</v>
      </c>
      <c r="B118" s="7">
        <v>17</v>
      </c>
      <c r="C118" s="7">
        <v>834.61</v>
      </c>
      <c r="D118" s="7" t="s">
        <v>27</v>
      </c>
      <c r="E118" s="7">
        <v>41.923287671232899</v>
      </c>
      <c r="F118" s="7">
        <v>15302</v>
      </c>
      <c r="G118" s="7">
        <v>9.2389575881080397</v>
      </c>
      <c r="H118" s="7">
        <v>6.7500479581794304</v>
      </c>
    </row>
    <row r="119" spans="1:8" x14ac:dyDescent="0.25">
      <c r="A119" s="7">
        <v>3</v>
      </c>
      <c r="B119" s="7">
        <v>18</v>
      </c>
      <c r="C119" s="7">
        <v>51.52</v>
      </c>
      <c r="D119" s="7" t="s">
        <v>29</v>
      </c>
      <c r="E119" s="7">
        <v>106.44931506849299</v>
      </c>
      <c r="F119" s="7">
        <v>38854</v>
      </c>
      <c r="G119" s="7">
        <v>17.5091812650229</v>
      </c>
      <c r="H119" s="7">
        <v>11.2017581647335</v>
      </c>
    </row>
    <row r="120" spans="1:8" x14ac:dyDescent="0.25">
      <c r="A120" s="7">
        <v>3</v>
      </c>
      <c r="B120" s="7">
        <v>19</v>
      </c>
      <c r="C120" s="7">
        <v>547.29999999999995</v>
      </c>
      <c r="D120" s="7" t="s">
        <v>27</v>
      </c>
      <c r="E120" s="7">
        <v>51.356164383561598</v>
      </c>
      <c r="F120" s="7">
        <v>18745</v>
      </c>
      <c r="G120" s="7">
        <v>10.9479068809548</v>
      </c>
      <c r="H120" s="7">
        <v>7.0551967079621303</v>
      </c>
    </row>
    <row r="121" spans="1:8" x14ac:dyDescent="0.25">
      <c r="A121" s="7">
        <v>3</v>
      </c>
      <c r="B121" s="7">
        <v>20</v>
      </c>
      <c r="C121" s="7">
        <v>424.89</v>
      </c>
      <c r="D121" s="7" t="s">
        <v>28</v>
      </c>
      <c r="E121" s="7">
        <v>60.361643835616398</v>
      </c>
      <c r="F121" s="7">
        <v>22032</v>
      </c>
      <c r="G121" s="7">
        <v>13.1391174388233</v>
      </c>
      <c r="H121" s="7">
        <v>8.8633362397239495</v>
      </c>
    </row>
    <row r="122" spans="1:8" x14ac:dyDescent="0.25">
      <c r="A122" s="7">
        <v>3</v>
      </c>
      <c r="B122" s="7">
        <v>21</v>
      </c>
      <c r="C122" s="7">
        <v>647.92999999999995</v>
      </c>
      <c r="D122" s="7" t="s">
        <v>27</v>
      </c>
      <c r="E122" s="7">
        <v>51.356164383561598</v>
      </c>
      <c r="F122" s="7">
        <v>18745</v>
      </c>
      <c r="G122" s="7">
        <v>10.5467584457204</v>
      </c>
      <c r="H122" s="7">
        <v>6.6418491140454696</v>
      </c>
    </row>
    <row r="123" spans="1:8" x14ac:dyDescent="0.25">
      <c r="A123" s="7">
        <v>3</v>
      </c>
      <c r="B123" s="7">
        <v>22</v>
      </c>
      <c r="C123" s="7">
        <v>72.209999999999994</v>
      </c>
      <c r="D123" s="7" t="s">
        <v>29</v>
      </c>
      <c r="E123" s="7">
        <v>101.835616438356</v>
      </c>
      <c r="F123" s="7">
        <v>37170</v>
      </c>
      <c r="G123" s="7">
        <v>16.6623963314109</v>
      </c>
      <c r="H123" s="7">
        <v>10.107554505358101</v>
      </c>
    </row>
    <row r="124" spans="1:8" x14ac:dyDescent="0.25">
      <c r="A124" s="7">
        <v>3</v>
      </c>
      <c r="B124" s="7">
        <v>23</v>
      </c>
      <c r="C124" s="7">
        <v>1075.06</v>
      </c>
      <c r="D124" s="7" t="s">
        <v>27</v>
      </c>
      <c r="E124" s="7">
        <v>37.263013698630097</v>
      </c>
      <c r="F124" s="7">
        <v>13601</v>
      </c>
      <c r="G124" s="7">
        <v>9.8582584867603291</v>
      </c>
      <c r="H124" s="7">
        <v>6.5273446968220403</v>
      </c>
    </row>
    <row r="125" spans="1:8" x14ac:dyDescent="0.25">
      <c r="A125" s="7">
        <v>3</v>
      </c>
      <c r="B125" s="7">
        <v>24</v>
      </c>
      <c r="C125" s="7">
        <v>141.85</v>
      </c>
      <c r="D125" s="7" t="s">
        <v>29</v>
      </c>
      <c r="E125" s="7">
        <v>84.0082191780822</v>
      </c>
      <c r="F125" s="7">
        <v>30663</v>
      </c>
      <c r="G125" s="7">
        <v>17.949399999554402</v>
      </c>
      <c r="H125" s="7">
        <v>12.8857246116997</v>
      </c>
    </row>
    <row r="126" spans="1:8" x14ac:dyDescent="0.25">
      <c r="A126" s="7">
        <v>3</v>
      </c>
      <c r="B126" s="7">
        <v>25</v>
      </c>
      <c r="C126" s="7">
        <v>56.06</v>
      </c>
      <c r="D126" s="7" t="s">
        <v>29</v>
      </c>
      <c r="E126" s="7">
        <v>102.44109589041101</v>
      </c>
      <c r="F126" s="7">
        <v>37391</v>
      </c>
      <c r="G126" s="7">
        <v>13.792447402516</v>
      </c>
      <c r="H126" s="7">
        <v>8.5194173045763399</v>
      </c>
    </row>
    <row r="127" spans="1:8" x14ac:dyDescent="0.25">
      <c r="A127" s="7">
        <v>3</v>
      </c>
      <c r="B127" s="7">
        <v>26</v>
      </c>
      <c r="C127" s="7">
        <v>390.5</v>
      </c>
      <c r="D127" s="7" t="s">
        <v>28</v>
      </c>
      <c r="E127" s="7">
        <v>60.619178082191802</v>
      </c>
      <c r="F127" s="7">
        <v>22126</v>
      </c>
      <c r="G127" s="7">
        <v>11.8835878746281</v>
      </c>
      <c r="H127" s="7">
        <v>8.3307020037371693</v>
      </c>
    </row>
    <row r="128" spans="1:8" x14ac:dyDescent="0.25">
      <c r="A128" s="7">
        <v>3</v>
      </c>
      <c r="B128" s="7">
        <v>27</v>
      </c>
      <c r="C128" s="7">
        <v>1639.41</v>
      </c>
      <c r="D128" s="7" t="s">
        <v>27</v>
      </c>
      <c r="E128" s="7">
        <v>28.101369863013701</v>
      </c>
      <c r="F128" s="7">
        <v>10257</v>
      </c>
      <c r="G128" s="7">
        <v>8.3065951037060604</v>
      </c>
      <c r="H128" s="7">
        <v>5.5018671500113498</v>
      </c>
    </row>
    <row r="129" spans="1:8" x14ac:dyDescent="0.25">
      <c r="A129" s="7">
        <v>3</v>
      </c>
      <c r="B129" s="7">
        <v>28</v>
      </c>
      <c r="C129" s="7">
        <v>43.52</v>
      </c>
      <c r="D129" s="7" t="s">
        <v>29</v>
      </c>
      <c r="E129" s="7">
        <v>111.87397260274</v>
      </c>
      <c r="F129" s="7">
        <v>40834</v>
      </c>
      <c r="G129" s="7">
        <v>17.411780230027802</v>
      </c>
      <c r="H129" s="7">
        <v>10.6288523445881</v>
      </c>
    </row>
    <row r="130" spans="1:8" x14ac:dyDescent="0.25">
      <c r="A130" s="7">
        <v>3</v>
      </c>
      <c r="B130" s="7">
        <v>29</v>
      </c>
      <c r="C130" s="7">
        <v>119.82</v>
      </c>
      <c r="D130" s="7" t="s">
        <v>29</v>
      </c>
      <c r="E130" s="7">
        <v>88.728767123287696</v>
      </c>
      <c r="F130" s="7">
        <v>32386</v>
      </c>
      <c r="G130" s="7">
        <v>15.2184405139626</v>
      </c>
      <c r="H130" s="7">
        <v>10.8241145763878</v>
      </c>
    </row>
    <row r="131" spans="1:8" x14ac:dyDescent="0.25">
      <c r="A131" s="7">
        <v>3</v>
      </c>
      <c r="B131" s="7">
        <v>30</v>
      </c>
      <c r="C131" s="7">
        <v>595.5</v>
      </c>
      <c r="D131" s="7" t="s">
        <v>27</v>
      </c>
      <c r="E131" s="7">
        <v>51.402739726027399</v>
      </c>
      <c r="F131" s="7">
        <v>18762</v>
      </c>
      <c r="G131" s="7">
        <v>11.2499031157903</v>
      </c>
      <c r="H131" s="7">
        <v>7.5080570195905798</v>
      </c>
    </row>
    <row r="132" spans="1:8" x14ac:dyDescent="0.25">
      <c r="A132" s="7">
        <v>3</v>
      </c>
      <c r="B132" s="7">
        <v>31</v>
      </c>
      <c r="C132" s="7">
        <v>198.8</v>
      </c>
      <c r="D132" s="7" t="s">
        <v>28</v>
      </c>
      <c r="E132" s="7">
        <v>74.832876712328797</v>
      </c>
      <c r="F132" s="7">
        <v>27314</v>
      </c>
      <c r="G132" s="7">
        <v>13.803653518322401</v>
      </c>
      <c r="H132" s="7">
        <v>8.5952242978419893</v>
      </c>
    </row>
    <row r="133" spans="1:8" x14ac:dyDescent="0.25">
      <c r="A133" s="7">
        <v>3</v>
      </c>
      <c r="B133" s="7">
        <v>32</v>
      </c>
      <c r="C133" s="7">
        <v>462.3</v>
      </c>
      <c r="D133" s="7" t="s">
        <v>28</v>
      </c>
      <c r="E133" s="7">
        <v>55.816438356164397</v>
      </c>
      <c r="F133" s="7">
        <v>20373</v>
      </c>
      <c r="G133" s="7">
        <v>14.442940931873499</v>
      </c>
      <c r="H133" s="7">
        <v>8.06977946805622</v>
      </c>
    </row>
    <row r="134" spans="1:8" x14ac:dyDescent="0.25">
      <c r="A134" s="7">
        <v>3</v>
      </c>
      <c r="B134" s="7">
        <v>33</v>
      </c>
      <c r="C134" s="7">
        <v>130.37</v>
      </c>
      <c r="D134" s="7" t="s">
        <v>29</v>
      </c>
      <c r="E134" s="7">
        <v>88.183561643835603</v>
      </c>
      <c r="F134" s="7">
        <v>32187</v>
      </c>
      <c r="G134" s="7">
        <v>13.214731207221799</v>
      </c>
      <c r="H134" s="7">
        <v>9.2569661999473691</v>
      </c>
    </row>
    <row r="135" spans="1:8" x14ac:dyDescent="0.25">
      <c r="A135" s="7">
        <v>3</v>
      </c>
      <c r="B135" s="7">
        <v>34</v>
      </c>
      <c r="C135" s="7">
        <v>1384.8</v>
      </c>
      <c r="D135" s="7" t="s">
        <v>27</v>
      </c>
      <c r="E135" s="7">
        <v>32.5369863013699</v>
      </c>
      <c r="F135" s="7">
        <v>11876</v>
      </c>
      <c r="G135" s="7">
        <v>9.1126883709165192</v>
      </c>
      <c r="H135" s="7">
        <v>5.9750944437610203</v>
      </c>
    </row>
    <row r="136" spans="1:8" x14ac:dyDescent="0.25">
      <c r="A136" s="7">
        <v>3</v>
      </c>
      <c r="B136" s="7">
        <v>35</v>
      </c>
      <c r="C136" s="7">
        <v>167.93</v>
      </c>
      <c r="D136" s="7" t="s">
        <v>28</v>
      </c>
      <c r="E136" s="7">
        <v>82.747945205479496</v>
      </c>
      <c r="F136" s="7">
        <v>30203</v>
      </c>
      <c r="G136" s="7">
        <v>13.7412918174468</v>
      </c>
      <c r="H136" s="7">
        <v>8.7893835352271896</v>
      </c>
    </row>
    <row r="137" spans="1:8" x14ac:dyDescent="0.25">
      <c r="A137" s="7">
        <v>3</v>
      </c>
      <c r="B137" s="7">
        <v>36</v>
      </c>
      <c r="C137" s="7">
        <v>78.569999999999993</v>
      </c>
      <c r="D137" s="7" t="s">
        <v>29</v>
      </c>
      <c r="E137" s="7">
        <v>98.375342465753405</v>
      </c>
      <c r="F137" s="7">
        <v>35907</v>
      </c>
      <c r="G137" s="7">
        <v>15.341482476201801</v>
      </c>
      <c r="H137" s="7">
        <v>10.2395194001368</v>
      </c>
    </row>
    <row r="138" spans="1:8" x14ac:dyDescent="0.25">
      <c r="A138" s="7">
        <v>3</v>
      </c>
      <c r="B138" s="7">
        <v>37</v>
      </c>
      <c r="C138" s="7">
        <v>1169.73</v>
      </c>
      <c r="D138" s="7" t="s">
        <v>27</v>
      </c>
      <c r="E138" s="7">
        <v>37.378082191780798</v>
      </c>
      <c r="F138" s="7">
        <v>13643</v>
      </c>
      <c r="G138" s="7">
        <v>8.9428295138244795</v>
      </c>
      <c r="H138" s="7">
        <v>6.1766733075119404</v>
      </c>
    </row>
    <row r="139" spans="1:8" x14ac:dyDescent="0.25">
      <c r="A139" s="7">
        <v>3</v>
      </c>
      <c r="B139" s="7">
        <v>38</v>
      </c>
      <c r="C139" s="7">
        <v>66.37</v>
      </c>
      <c r="D139" s="7" t="s">
        <v>29</v>
      </c>
      <c r="E139" s="7">
        <v>102.161643835616</v>
      </c>
      <c r="F139" s="7">
        <v>37289</v>
      </c>
      <c r="G139" s="7">
        <v>17.017917962329498</v>
      </c>
      <c r="H139" s="7">
        <v>10.6689081816239</v>
      </c>
    </row>
    <row r="140" spans="1:8" x14ac:dyDescent="0.25">
      <c r="A140" s="7">
        <v>3</v>
      </c>
      <c r="B140" s="7">
        <v>39</v>
      </c>
      <c r="C140" s="7">
        <v>503.01</v>
      </c>
      <c r="D140" s="7" t="s">
        <v>27</v>
      </c>
      <c r="E140" s="7">
        <v>56.142465753424702</v>
      </c>
      <c r="F140" s="7">
        <v>20492</v>
      </c>
      <c r="G140" s="7">
        <v>12.8331756225792</v>
      </c>
      <c r="H140" s="7">
        <v>8.35020602364213</v>
      </c>
    </row>
    <row r="141" spans="1:8" x14ac:dyDescent="0.25">
      <c r="A141" s="7">
        <v>3</v>
      </c>
      <c r="B141" s="7">
        <v>40</v>
      </c>
      <c r="C141" s="7">
        <v>1272.73</v>
      </c>
      <c r="D141" s="7" t="s">
        <v>27</v>
      </c>
      <c r="E141" s="7">
        <v>38.252054794520603</v>
      </c>
      <c r="F141" s="7">
        <v>13962</v>
      </c>
      <c r="G141" s="7">
        <v>9.9738489882646206</v>
      </c>
      <c r="H141" s="7">
        <v>7.0074868100101</v>
      </c>
    </row>
    <row r="142" spans="1:8" x14ac:dyDescent="0.25">
      <c r="A142" s="7">
        <v>3</v>
      </c>
      <c r="B142" s="7">
        <v>41</v>
      </c>
      <c r="C142" s="7">
        <v>2111.73</v>
      </c>
      <c r="D142" s="7" t="s">
        <v>27</v>
      </c>
      <c r="E142" s="7">
        <v>28.367123287671198</v>
      </c>
      <c r="F142" s="7">
        <v>10354</v>
      </c>
      <c r="G142" s="7">
        <v>7.6737401327786801</v>
      </c>
      <c r="H142" s="7">
        <v>5.14261240716404</v>
      </c>
    </row>
    <row r="143" spans="1:8" x14ac:dyDescent="0.25">
      <c r="A143" s="7">
        <v>3</v>
      </c>
      <c r="B143" s="7">
        <v>42</v>
      </c>
      <c r="C143" s="7">
        <v>704.99</v>
      </c>
      <c r="D143" s="7" t="s">
        <v>27</v>
      </c>
      <c r="E143" s="7">
        <v>47.0520547945206</v>
      </c>
      <c r="F143" s="7">
        <v>17174</v>
      </c>
      <c r="G143" s="7">
        <v>11.3024907512052</v>
      </c>
      <c r="H143" s="7">
        <v>7.3964775123389099</v>
      </c>
    </row>
    <row r="144" spans="1:8" x14ac:dyDescent="0.25">
      <c r="A144" s="7">
        <v>3</v>
      </c>
      <c r="B144" s="7">
        <v>43</v>
      </c>
      <c r="C144" s="7">
        <v>358.9</v>
      </c>
      <c r="D144" s="7" t="s">
        <v>28</v>
      </c>
      <c r="E144" s="7">
        <v>64.750684931506896</v>
      </c>
      <c r="F144" s="7">
        <v>23634</v>
      </c>
      <c r="G144" s="7">
        <v>11.5548092506092</v>
      </c>
      <c r="H144" s="7">
        <v>8.1636715326062799</v>
      </c>
    </row>
    <row r="145" spans="1:8" x14ac:dyDescent="0.25">
      <c r="A145" s="7">
        <v>3</v>
      </c>
      <c r="B145" s="7">
        <v>44</v>
      </c>
      <c r="C145" s="7">
        <v>908.1</v>
      </c>
      <c r="D145" s="7" t="s">
        <v>27</v>
      </c>
      <c r="E145" s="7">
        <v>36.835616438356197</v>
      </c>
      <c r="F145" s="7">
        <v>13445</v>
      </c>
      <c r="G145" s="7">
        <v>9.5577993756866793</v>
      </c>
      <c r="H145" s="7">
        <v>6.0973255377558404</v>
      </c>
    </row>
    <row r="146" spans="1:8" x14ac:dyDescent="0.25">
      <c r="A146" s="7">
        <v>3</v>
      </c>
      <c r="B146" s="7">
        <v>45</v>
      </c>
      <c r="C146" s="7">
        <v>61</v>
      </c>
      <c r="D146" s="7" t="s">
        <v>29</v>
      </c>
      <c r="E146" s="7">
        <v>102.893150684932</v>
      </c>
      <c r="F146" s="7">
        <v>37556</v>
      </c>
      <c r="G146" s="7">
        <v>16.908832720939401</v>
      </c>
      <c r="H146" s="7">
        <v>11.6182780206779</v>
      </c>
    </row>
    <row r="147" spans="1:8" x14ac:dyDescent="0.25">
      <c r="A147" s="7">
        <v>3</v>
      </c>
      <c r="B147" s="7">
        <v>46</v>
      </c>
      <c r="C147" s="7">
        <v>216.31</v>
      </c>
      <c r="D147" s="7" t="s">
        <v>28</v>
      </c>
      <c r="E147" s="7">
        <v>73.934246575342499</v>
      </c>
      <c r="F147" s="7">
        <v>26986</v>
      </c>
      <c r="G147" s="7">
        <v>11.1984658699494</v>
      </c>
      <c r="H147" s="7">
        <v>8.2110831300978209</v>
      </c>
    </row>
    <row r="148" spans="1:8" x14ac:dyDescent="0.25">
      <c r="A148" s="7">
        <v>3</v>
      </c>
      <c r="B148" s="7">
        <v>47</v>
      </c>
      <c r="C148" s="7">
        <v>1940.83</v>
      </c>
      <c r="D148" s="7" t="s">
        <v>27</v>
      </c>
      <c r="E148" s="7">
        <v>28.169863013698599</v>
      </c>
      <c r="F148" s="7">
        <v>10282</v>
      </c>
      <c r="G148" s="7">
        <v>7.1452074489669002</v>
      </c>
      <c r="H148" s="7">
        <v>4.8106183009811998</v>
      </c>
    </row>
    <row r="149" spans="1:8" x14ac:dyDescent="0.25">
      <c r="A149" s="7">
        <v>3</v>
      </c>
      <c r="B149" s="7">
        <v>48</v>
      </c>
      <c r="C149" s="7">
        <v>329.86</v>
      </c>
      <c r="D149" s="7" t="s">
        <v>28</v>
      </c>
      <c r="E149" s="7">
        <v>64.917808219178099</v>
      </c>
      <c r="F149" s="7">
        <v>23695</v>
      </c>
      <c r="G149" s="7">
        <v>13.956231494050501</v>
      </c>
      <c r="H149" s="7">
        <v>8.8433082757545201</v>
      </c>
    </row>
    <row r="150" spans="1:8" x14ac:dyDescent="0.25">
      <c r="A150" s="7">
        <v>3</v>
      </c>
      <c r="B150" s="7">
        <v>49</v>
      </c>
      <c r="C150" s="7">
        <v>988.06</v>
      </c>
      <c r="D150" s="7" t="s">
        <v>27</v>
      </c>
      <c r="E150" s="7">
        <v>37.224657534246603</v>
      </c>
      <c r="F150" s="7">
        <v>13587</v>
      </c>
      <c r="G150" s="7">
        <v>7.7350722408050601</v>
      </c>
      <c r="H150" s="7">
        <v>5.48757279204517</v>
      </c>
    </row>
    <row r="151" spans="1:8" x14ac:dyDescent="0.25">
      <c r="A151" s="7">
        <v>3</v>
      </c>
      <c r="B151" s="7">
        <v>50</v>
      </c>
      <c r="C151" s="7">
        <v>154.34</v>
      </c>
      <c r="D151" s="7" t="s">
        <v>29</v>
      </c>
      <c r="E151" s="7">
        <v>83.443835616438406</v>
      </c>
      <c r="F151" s="7">
        <v>30457</v>
      </c>
      <c r="G151" s="7">
        <v>14.4864427452488</v>
      </c>
      <c r="H151" s="7">
        <v>9.6730895694186092</v>
      </c>
    </row>
    <row r="152" spans="1:8" x14ac:dyDescent="0.25">
      <c r="A152" s="7">
        <v>4</v>
      </c>
      <c r="B152" s="7">
        <v>1</v>
      </c>
      <c r="C152" s="7">
        <v>2297.6799999999998</v>
      </c>
      <c r="D152" s="7" t="s">
        <v>27</v>
      </c>
      <c r="E152" s="7">
        <v>25.389041095890398</v>
      </c>
      <c r="F152" s="7">
        <v>9267</v>
      </c>
      <c r="G152" s="7">
        <v>7.4132343788689097</v>
      </c>
      <c r="H152" s="7">
        <v>5.1641537945254603</v>
      </c>
    </row>
    <row r="153" spans="1:8" x14ac:dyDescent="0.25">
      <c r="A153" s="7">
        <v>4</v>
      </c>
      <c r="B153" s="7">
        <v>2</v>
      </c>
      <c r="C153" s="7">
        <v>235.35</v>
      </c>
      <c r="D153" s="7" t="s">
        <v>28</v>
      </c>
      <c r="E153" s="7">
        <v>68.739726027397296</v>
      </c>
      <c r="F153" s="7">
        <v>25090</v>
      </c>
      <c r="G153" s="7">
        <v>12.803655265234999</v>
      </c>
      <c r="H153" s="7">
        <v>7.9574784811772803</v>
      </c>
    </row>
    <row r="154" spans="1:8" x14ac:dyDescent="0.25">
      <c r="A154" s="7">
        <v>4</v>
      </c>
      <c r="B154" s="7">
        <v>3</v>
      </c>
      <c r="C154" s="7">
        <v>767.06</v>
      </c>
      <c r="D154" s="7" t="s">
        <v>27</v>
      </c>
      <c r="E154" s="7">
        <v>43.041095890411</v>
      </c>
      <c r="F154" s="7">
        <v>15710</v>
      </c>
      <c r="G154" s="7">
        <v>9.2163762411089696</v>
      </c>
      <c r="H154" s="7">
        <v>6.70416348668238</v>
      </c>
    </row>
    <row r="155" spans="1:8" x14ac:dyDescent="0.25">
      <c r="A155" s="7">
        <v>4</v>
      </c>
      <c r="B155" s="7">
        <v>4</v>
      </c>
      <c r="C155" s="7">
        <v>1783.76</v>
      </c>
      <c r="D155" s="7" t="s">
        <v>27</v>
      </c>
      <c r="E155" s="7">
        <v>25.421917808219199</v>
      </c>
      <c r="F155" s="7">
        <v>9279</v>
      </c>
      <c r="G155" s="7">
        <v>7.2480453565553304</v>
      </c>
      <c r="H155" s="7">
        <v>5.4147197218351399</v>
      </c>
    </row>
    <row r="156" spans="1:8" x14ac:dyDescent="0.25">
      <c r="A156" s="7">
        <v>4</v>
      </c>
      <c r="B156" s="7">
        <v>5</v>
      </c>
      <c r="C156" s="7">
        <v>2500</v>
      </c>
      <c r="D156" s="7" t="s">
        <v>27</v>
      </c>
      <c r="E156" s="7">
        <v>21.646575342465798</v>
      </c>
      <c r="F156" s="7">
        <v>7901</v>
      </c>
      <c r="G156" s="7">
        <v>7.98640148600433</v>
      </c>
      <c r="H156" s="7">
        <v>5.1623606704132401</v>
      </c>
    </row>
    <row r="157" spans="1:8" x14ac:dyDescent="0.25">
      <c r="A157" s="7">
        <v>4</v>
      </c>
      <c r="B157" s="7">
        <v>6</v>
      </c>
      <c r="C157" s="7">
        <v>278.63</v>
      </c>
      <c r="D157" s="7" t="s">
        <v>28</v>
      </c>
      <c r="E157" s="7">
        <v>68.284931506849304</v>
      </c>
      <c r="F157" s="7">
        <v>24924</v>
      </c>
      <c r="G157" s="7">
        <v>12.5019635342668</v>
      </c>
      <c r="H157" s="7">
        <v>9.1516811473139992</v>
      </c>
    </row>
    <row r="158" spans="1:8" x14ac:dyDescent="0.25">
      <c r="A158" s="7">
        <v>4</v>
      </c>
      <c r="B158" s="7">
        <v>7</v>
      </c>
      <c r="C158" s="7">
        <v>256.08</v>
      </c>
      <c r="D158" s="7" t="s">
        <v>28</v>
      </c>
      <c r="E158" s="7">
        <v>68.608219178082194</v>
      </c>
      <c r="F158" s="7">
        <v>25042</v>
      </c>
      <c r="G158" s="7">
        <v>12.925602101251799</v>
      </c>
      <c r="H158" s="7">
        <v>9.17854351342522</v>
      </c>
    </row>
    <row r="159" spans="1:8" x14ac:dyDescent="0.25">
      <c r="A159" s="7">
        <v>4</v>
      </c>
      <c r="B159" s="7">
        <v>8</v>
      </c>
      <c r="C159" s="7">
        <v>85.49</v>
      </c>
      <c r="D159" s="7" t="s">
        <v>29</v>
      </c>
      <c r="E159" s="7">
        <v>91.131506849315102</v>
      </c>
      <c r="F159" s="7">
        <v>33263</v>
      </c>
      <c r="G159" s="7">
        <v>13.8734769828233</v>
      </c>
      <c r="H159" s="7">
        <v>10.0121983173941</v>
      </c>
    </row>
    <row r="160" spans="1:8" x14ac:dyDescent="0.25">
      <c r="A160" s="7">
        <v>4</v>
      </c>
      <c r="B160" s="7">
        <v>9</v>
      </c>
      <c r="C160" s="7">
        <v>303.16000000000003</v>
      </c>
      <c r="D160" s="7" t="s">
        <v>28</v>
      </c>
      <c r="E160" s="7">
        <v>59.652054794520602</v>
      </c>
      <c r="F160" s="7">
        <v>21773</v>
      </c>
      <c r="G160" s="7">
        <v>13.0934748121526</v>
      </c>
      <c r="H160" s="7">
        <v>9.2924944864522203</v>
      </c>
    </row>
    <row r="161" spans="1:8" x14ac:dyDescent="0.25">
      <c r="A161" s="7">
        <v>4</v>
      </c>
      <c r="B161" s="7">
        <v>10</v>
      </c>
      <c r="C161" s="7">
        <v>93.02</v>
      </c>
      <c r="D161" s="7" t="s">
        <v>29</v>
      </c>
      <c r="E161" s="7">
        <v>85.701369863013696</v>
      </c>
      <c r="F161" s="7">
        <v>31281</v>
      </c>
      <c r="G161" s="7">
        <v>14.9229907248485</v>
      </c>
      <c r="H161" s="7">
        <v>10.0354250034937</v>
      </c>
    </row>
    <row r="162" spans="1:8" x14ac:dyDescent="0.25">
      <c r="A162" s="7">
        <v>4</v>
      </c>
      <c r="B162" s="7">
        <v>11</v>
      </c>
      <c r="C162" s="7">
        <v>101.21</v>
      </c>
      <c r="D162" s="7" t="s">
        <v>29</v>
      </c>
      <c r="E162" s="7">
        <v>81.589041095890394</v>
      </c>
      <c r="F162" s="7">
        <v>29780</v>
      </c>
      <c r="G162" s="7">
        <v>15.2080648506846</v>
      </c>
      <c r="H162" s="7">
        <v>9.3308179924203305</v>
      </c>
    </row>
    <row r="163" spans="1:8" x14ac:dyDescent="0.25">
      <c r="A163" s="7">
        <v>4</v>
      </c>
      <c r="B163" s="7">
        <v>12</v>
      </c>
      <c r="C163" s="7">
        <v>110.12</v>
      </c>
      <c r="D163" s="7" t="s">
        <v>29</v>
      </c>
      <c r="E163" s="7">
        <v>81.271232876712304</v>
      </c>
      <c r="F163" s="7">
        <v>29664</v>
      </c>
      <c r="G163" s="7">
        <v>14.250585691352599</v>
      </c>
      <c r="H163" s="7">
        <v>9.4465045338426403</v>
      </c>
    </row>
    <row r="164" spans="1:8" x14ac:dyDescent="0.25">
      <c r="A164" s="7">
        <v>4</v>
      </c>
      <c r="B164" s="7">
        <v>13</v>
      </c>
      <c r="C164" s="7">
        <v>47.35</v>
      </c>
      <c r="D164" s="7" t="s">
        <v>29</v>
      </c>
      <c r="E164" s="7">
        <v>98.126027397260302</v>
      </c>
      <c r="F164" s="7">
        <v>35816</v>
      </c>
      <c r="G164" s="7">
        <v>15.832451086475499</v>
      </c>
      <c r="H164" s="7">
        <v>11.0274811489346</v>
      </c>
    </row>
    <row r="165" spans="1:8" x14ac:dyDescent="0.25">
      <c r="A165" s="7">
        <v>4</v>
      </c>
      <c r="B165" s="7">
        <v>14</v>
      </c>
      <c r="C165" s="7">
        <v>182.71</v>
      </c>
      <c r="D165" s="7" t="s">
        <v>28</v>
      </c>
      <c r="E165" s="7">
        <v>68.838356164383598</v>
      </c>
      <c r="F165" s="7">
        <v>25126</v>
      </c>
      <c r="G165" s="7">
        <v>12.4048360327544</v>
      </c>
      <c r="H165" s="7">
        <v>8.29308038947614</v>
      </c>
    </row>
    <row r="166" spans="1:8" x14ac:dyDescent="0.25">
      <c r="A166" s="7">
        <v>4</v>
      </c>
      <c r="B166" s="7">
        <v>15</v>
      </c>
      <c r="C166" s="7">
        <v>40</v>
      </c>
      <c r="D166" s="7" t="s">
        <v>29</v>
      </c>
      <c r="E166" s="7">
        <v>102.432876712329</v>
      </c>
      <c r="F166" s="7">
        <v>37388</v>
      </c>
      <c r="G166" s="7">
        <v>16.382944180139202</v>
      </c>
      <c r="H166" s="7">
        <v>10.494386303296301</v>
      </c>
    </row>
    <row r="167" spans="1:8" x14ac:dyDescent="0.25">
      <c r="A167" s="7">
        <v>4</v>
      </c>
      <c r="B167" s="7">
        <v>16</v>
      </c>
      <c r="C167" s="7">
        <v>1506.73</v>
      </c>
      <c r="D167" s="7" t="s">
        <v>27</v>
      </c>
      <c r="E167" s="7">
        <v>30.452054794520599</v>
      </c>
      <c r="F167" s="7">
        <v>11115</v>
      </c>
      <c r="G167" s="7">
        <v>9.1926870122665694</v>
      </c>
      <c r="H167" s="7">
        <v>5.6747751006336298</v>
      </c>
    </row>
    <row r="168" spans="1:8" x14ac:dyDescent="0.25">
      <c r="A168" s="7">
        <v>4</v>
      </c>
      <c r="B168" s="7">
        <v>17</v>
      </c>
      <c r="C168" s="7">
        <v>834.61</v>
      </c>
      <c r="D168" s="7" t="s">
        <v>27</v>
      </c>
      <c r="E168" s="7">
        <v>38.438356164383599</v>
      </c>
      <c r="F168" s="7">
        <v>14030</v>
      </c>
      <c r="G168" s="7">
        <v>8.6741731858818607</v>
      </c>
      <c r="H168" s="7">
        <v>5.9943529942899003</v>
      </c>
    </row>
    <row r="169" spans="1:8" x14ac:dyDescent="0.25">
      <c r="A169" s="7">
        <v>4</v>
      </c>
      <c r="B169" s="7">
        <v>18</v>
      </c>
      <c r="C169" s="7">
        <v>51.52</v>
      </c>
      <c r="D169" s="7" t="s">
        <v>29</v>
      </c>
      <c r="E169" s="7">
        <v>99.542465753424594</v>
      </c>
      <c r="F169" s="7">
        <v>36333</v>
      </c>
      <c r="G169" s="7">
        <v>16.713012087982001</v>
      </c>
      <c r="H169" s="7">
        <v>10.975394118301899</v>
      </c>
    </row>
    <row r="170" spans="1:8" x14ac:dyDescent="0.25">
      <c r="A170" s="7">
        <v>4</v>
      </c>
      <c r="B170" s="7">
        <v>19</v>
      </c>
      <c r="C170" s="7">
        <v>547.29999999999995</v>
      </c>
      <c r="D170" s="7" t="s">
        <v>27</v>
      </c>
      <c r="E170" s="7">
        <v>47.364383561643798</v>
      </c>
      <c r="F170" s="7">
        <v>17288</v>
      </c>
      <c r="G170" s="7">
        <v>10.1197795375294</v>
      </c>
      <c r="H170" s="7">
        <v>6.7814766822535804</v>
      </c>
    </row>
    <row r="171" spans="1:8" x14ac:dyDescent="0.25">
      <c r="A171" s="7">
        <v>4</v>
      </c>
      <c r="B171" s="7">
        <v>20</v>
      </c>
      <c r="C171" s="7">
        <v>424.89</v>
      </c>
      <c r="D171" s="7" t="s">
        <v>28</v>
      </c>
      <c r="E171" s="7">
        <v>55.660273972602702</v>
      </c>
      <c r="F171" s="7">
        <v>20316</v>
      </c>
      <c r="G171" s="7">
        <v>11.808129229906701</v>
      </c>
      <c r="H171" s="7">
        <v>7.0601685349064001</v>
      </c>
    </row>
    <row r="172" spans="1:8" x14ac:dyDescent="0.25">
      <c r="A172" s="7">
        <v>4</v>
      </c>
      <c r="B172" s="7">
        <v>21</v>
      </c>
      <c r="C172" s="7">
        <v>647.92999999999995</v>
      </c>
      <c r="D172" s="7" t="s">
        <v>27</v>
      </c>
      <c r="E172" s="7">
        <v>47.084931506849301</v>
      </c>
      <c r="F172" s="7">
        <v>17186</v>
      </c>
      <c r="G172" s="7">
        <v>11.579736655181099</v>
      </c>
      <c r="H172" s="7">
        <v>7.6886563939063102</v>
      </c>
    </row>
    <row r="173" spans="1:8" x14ac:dyDescent="0.25">
      <c r="A173" s="7">
        <v>4</v>
      </c>
      <c r="B173" s="7">
        <v>22</v>
      </c>
      <c r="C173" s="7">
        <v>72.209999999999994</v>
      </c>
      <c r="D173" s="7" t="s">
        <v>29</v>
      </c>
      <c r="E173" s="7">
        <v>94.131506849315102</v>
      </c>
      <c r="F173" s="7">
        <v>34358</v>
      </c>
      <c r="G173" s="7">
        <v>14.447443344996399</v>
      </c>
      <c r="H173" s="7">
        <v>9.8624148939334297</v>
      </c>
    </row>
    <row r="174" spans="1:8" x14ac:dyDescent="0.25">
      <c r="A174" s="7">
        <v>4</v>
      </c>
      <c r="B174" s="7">
        <v>23</v>
      </c>
      <c r="C174" s="7">
        <v>1075.06</v>
      </c>
      <c r="D174" s="7" t="s">
        <v>27</v>
      </c>
      <c r="E174" s="7">
        <v>34.602739726027401</v>
      </c>
      <c r="F174" s="7">
        <v>12630</v>
      </c>
      <c r="G174" s="7">
        <v>8.8175960442742003</v>
      </c>
      <c r="H174" s="7">
        <v>6.6984288948642501</v>
      </c>
    </row>
    <row r="175" spans="1:8" x14ac:dyDescent="0.25">
      <c r="A175" s="7">
        <v>4</v>
      </c>
      <c r="B175" s="7">
        <v>24</v>
      </c>
      <c r="C175" s="7">
        <v>141.85</v>
      </c>
      <c r="D175" s="7" t="s">
        <v>29</v>
      </c>
      <c r="E175" s="7">
        <v>77.547945205479493</v>
      </c>
      <c r="F175" s="7">
        <v>28305</v>
      </c>
      <c r="G175" s="7">
        <v>13.373833120194201</v>
      </c>
      <c r="H175" s="7">
        <v>8.3230565396480394</v>
      </c>
    </row>
    <row r="176" spans="1:8" x14ac:dyDescent="0.25">
      <c r="A176" s="7">
        <v>4</v>
      </c>
      <c r="B176" s="7">
        <v>25</v>
      </c>
      <c r="C176" s="7">
        <v>56.06</v>
      </c>
      <c r="D176" s="7" t="s">
        <v>29</v>
      </c>
      <c r="E176" s="7">
        <v>94.257534246575403</v>
      </c>
      <c r="F176" s="7">
        <v>34404</v>
      </c>
      <c r="G176" s="7">
        <v>17.7407237054178</v>
      </c>
      <c r="H176" s="7">
        <v>11.7522670641054</v>
      </c>
    </row>
    <row r="177" spans="1:8" x14ac:dyDescent="0.25">
      <c r="A177" s="7">
        <v>4</v>
      </c>
      <c r="B177" s="7">
        <v>26</v>
      </c>
      <c r="C177" s="7">
        <v>390.5</v>
      </c>
      <c r="D177" s="7" t="s">
        <v>28</v>
      </c>
      <c r="E177" s="7">
        <v>56.175342465753403</v>
      </c>
      <c r="F177" s="7">
        <v>20504</v>
      </c>
      <c r="G177" s="7">
        <v>10.8964416885317</v>
      </c>
      <c r="H177" s="7">
        <v>7.3306314822190899</v>
      </c>
    </row>
    <row r="178" spans="1:8" x14ac:dyDescent="0.25">
      <c r="A178" s="7">
        <v>4</v>
      </c>
      <c r="B178" s="7">
        <v>27</v>
      </c>
      <c r="C178" s="7">
        <v>1639.41</v>
      </c>
      <c r="D178" s="7" t="s">
        <v>27</v>
      </c>
      <c r="E178" s="7">
        <v>25.904109589041099</v>
      </c>
      <c r="F178" s="7">
        <v>9455</v>
      </c>
      <c r="G178" s="7">
        <v>7.9555621988433698</v>
      </c>
      <c r="H178" s="7">
        <v>5.4821198738208103</v>
      </c>
    </row>
    <row r="179" spans="1:8" x14ac:dyDescent="0.25">
      <c r="A179" s="7">
        <v>4</v>
      </c>
      <c r="B179" s="7">
        <v>28</v>
      </c>
      <c r="C179" s="7">
        <v>43.52</v>
      </c>
      <c r="D179" s="7" t="s">
        <v>29</v>
      </c>
      <c r="E179" s="7">
        <v>102.969863013699</v>
      </c>
      <c r="F179" s="7">
        <v>37584</v>
      </c>
      <c r="G179" s="7">
        <v>17.039466147547198</v>
      </c>
      <c r="H179" s="7">
        <v>11.7373864861513</v>
      </c>
    </row>
    <row r="180" spans="1:8" x14ac:dyDescent="0.25">
      <c r="A180" s="7">
        <v>4</v>
      </c>
      <c r="B180" s="7">
        <v>29</v>
      </c>
      <c r="C180" s="7">
        <v>119.82</v>
      </c>
      <c r="D180" s="7" t="s">
        <v>29</v>
      </c>
      <c r="E180" s="7">
        <v>81.816438356164397</v>
      </c>
      <c r="F180" s="7">
        <v>29863</v>
      </c>
      <c r="G180" s="7">
        <v>13.7397618574931</v>
      </c>
      <c r="H180" s="7">
        <v>9.0564995844086091</v>
      </c>
    </row>
    <row r="181" spans="1:8" x14ac:dyDescent="0.25">
      <c r="A181" s="7">
        <v>4</v>
      </c>
      <c r="B181" s="7">
        <v>30</v>
      </c>
      <c r="C181" s="7">
        <v>595.5</v>
      </c>
      <c r="D181" s="7" t="s">
        <v>27</v>
      </c>
      <c r="E181" s="7">
        <v>47.578082191780801</v>
      </c>
      <c r="F181" s="7">
        <v>17366</v>
      </c>
      <c r="G181" s="7">
        <v>9.9887897030842296</v>
      </c>
      <c r="H181" s="7">
        <v>7.0301122519638497</v>
      </c>
    </row>
    <row r="182" spans="1:8" x14ac:dyDescent="0.25">
      <c r="A182" s="7">
        <v>4</v>
      </c>
      <c r="B182" s="7">
        <v>31</v>
      </c>
      <c r="C182" s="7">
        <v>198.8</v>
      </c>
      <c r="D182" s="7" t="s">
        <v>28</v>
      </c>
      <c r="E182" s="7">
        <v>68.238356164383603</v>
      </c>
      <c r="F182" s="7">
        <v>24907</v>
      </c>
      <c r="G182" s="7">
        <v>12.3913867022686</v>
      </c>
      <c r="H182" s="7">
        <v>8.7399748914483393</v>
      </c>
    </row>
    <row r="183" spans="1:8" x14ac:dyDescent="0.25">
      <c r="A183" s="7">
        <v>4</v>
      </c>
      <c r="B183" s="7">
        <v>32</v>
      </c>
      <c r="C183" s="7">
        <v>462.3</v>
      </c>
      <c r="D183" s="7" t="s">
        <v>28</v>
      </c>
      <c r="E183" s="7">
        <v>51.265753424657497</v>
      </c>
      <c r="F183" s="7">
        <v>18712</v>
      </c>
      <c r="G183" s="7">
        <v>10.411154617439299</v>
      </c>
      <c r="H183" s="7">
        <v>6.9208233643645398</v>
      </c>
    </row>
    <row r="184" spans="1:8" x14ac:dyDescent="0.25">
      <c r="A184" s="7">
        <v>4</v>
      </c>
      <c r="B184" s="7">
        <v>33</v>
      </c>
      <c r="C184" s="7">
        <v>130.37</v>
      </c>
      <c r="D184" s="7" t="s">
        <v>29</v>
      </c>
      <c r="E184" s="7">
        <v>81.408219178082206</v>
      </c>
      <c r="F184" s="7">
        <v>29714</v>
      </c>
      <c r="G184" s="7">
        <v>12.2221826482055</v>
      </c>
      <c r="H184" s="7">
        <v>8.4624974821795007</v>
      </c>
    </row>
    <row r="185" spans="1:8" x14ac:dyDescent="0.25">
      <c r="A185" s="7">
        <v>4</v>
      </c>
      <c r="B185" s="7">
        <v>34</v>
      </c>
      <c r="C185" s="7">
        <v>1384.8</v>
      </c>
      <c r="D185" s="7" t="s">
        <v>27</v>
      </c>
      <c r="E185" s="7">
        <v>29.9972602739726</v>
      </c>
      <c r="F185" s="7">
        <v>10949</v>
      </c>
      <c r="G185" s="7">
        <v>8.8216048368082607</v>
      </c>
      <c r="H185" s="7">
        <v>6.2103690618742</v>
      </c>
    </row>
    <row r="186" spans="1:8" x14ac:dyDescent="0.25">
      <c r="A186" s="7">
        <v>4</v>
      </c>
      <c r="B186" s="7">
        <v>35</v>
      </c>
      <c r="C186" s="7">
        <v>167.93</v>
      </c>
      <c r="D186" s="7" t="s">
        <v>28</v>
      </c>
      <c r="E186" s="7">
        <v>77.142465753424702</v>
      </c>
      <c r="F186" s="7">
        <v>28157</v>
      </c>
      <c r="G186" s="7">
        <v>12.6016317510969</v>
      </c>
      <c r="H186" s="7">
        <v>8.4684112764092703</v>
      </c>
    </row>
    <row r="187" spans="1:8" x14ac:dyDescent="0.25">
      <c r="A187" s="7">
        <v>4</v>
      </c>
      <c r="B187" s="7">
        <v>36</v>
      </c>
      <c r="C187" s="7">
        <v>78.569999999999993</v>
      </c>
      <c r="D187" s="7" t="s">
        <v>29</v>
      </c>
      <c r="E187" s="7">
        <v>90.402739726027406</v>
      </c>
      <c r="F187" s="7">
        <v>32997</v>
      </c>
      <c r="G187" s="7">
        <v>15.409690208347699</v>
      </c>
      <c r="H187" s="7">
        <v>9.4100285528589396</v>
      </c>
    </row>
    <row r="188" spans="1:8" x14ac:dyDescent="0.25">
      <c r="A188" s="7">
        <v>4</v>
      </c>
      <c r="B188" s="7">
        <v>37</v>
      </c>
      <c r="C188" s="7">
        <v>1169.73</v>
      </c>
      <c r="D188" s="7" t="s">
        <v>27</v>
      </c>
      <c r="E188" s="7">
        <v>34.290410958904097</v>
      </c>
      <c r="F188" s="7">
        <v>12516</v>
      </c>
      <c r="G188" s="7">
        <v>8.4036585098239893</v>
      </c>
      <c r="H188" s="7">
        <v>6.1537083326703899</v>
      </c>
    </row>
    <row r="189" spans="1:8" x14ac:dyDescent="0.25">
      <c r="A189" s="7">
        <v>4</v>
      </c>
      <c r="B189" s="7">
        <v>38</v>
      </c>
      <c r="C189" s="7">
        <v>66.37</v>
      </c>
      <c r="D189" s="7" t="s">
        <v>29</v>
      </c>
      <c r="E189" s="7">
        <v>94.936986301369899</v>
      </c>
      <c r="F189" s="7">
        <v>34652</v>
      </c>
      <c r="G189" s="7">
        <v>14.7326671423598</v>
      </c>
      <c r="H189" s="7">
        <v>9.5883560257363794</v>
      </c>
    </row>
    <row r="190" spans="1:8" x14ac:dyDescent="0.25">
      <c r="A190" s="7">
        <v>4</v>
      </c>
      <c r="B190" s="7">
        <v>39</v>
      </c>
      <c r="C190" s="7">
        <v>503.01</v>
      </c>
      <c r="D190" s="7" t="s">
        <v>27</v>
      </c>
      <c r="E190" s="7">
        <v>51.838356164383598</v>
      </c>
      <c r="F190" s="7">
        <v>18921</v>
      </c>
      <c r="G190" s="7">
        <v>12.825909001332599</v>
      </c>
      <c r="H190" s="7">
        <v>8.0182423712708299</v>
      </c>
    </row>
    <row r="191" spans="1:8" x14ac:dyDescent="0.25">
      <c r="A191" s="7">
        <v>4</v>
      </c>
      <c r="B191" s="7">
        <v>40</v>
      </c>
      <c r="C191" s="7">
        <v>1272.73</v>
      </c>
      <c r="D191" s="7" t="s">
        <v>27</v>
      </c>
      <c r="E191" s="7">
        <v>34.095890410958901</v>
      </c>
      <c r="F191" s="7">
        <v>12445</v>
      </c>
      <c r="G191" s="7">
        <v>8.6110408133485397</v>
      </c>
      <c r="H191" s="7">
        <v>5.8068358993201397</v>
      </c>
    </row>
    <row r="192" spans="1:8" x14ac:dyDescent="0.25">
      <c r="A192" s="7">
        <v>4</v>
      </c>
      <c r="B192" s="7">
        <v>41</v>
      </c>
      <c r="C192" s="7">
        <v>2111.73</v>
      </c>
      <c r="D192" s="7" t="s">
        <v>27</v>
      </c>
      <c r="E192" s="7">
        <v>26.134246575342502</v>
      </c>
      <c r="F192" s="7">
        <v>9539</v>
      </c>
      <c r="G192" s="7">
        <v>6.8819824030917403</v>
      </c>
      <c r="H192" s="7">
        <v>4.92755963407562</v>
      </c>
    </row>
    <row r="193" spans="1:8" x14ac:dyDescent="0.25">
      <c r="A193" s="7">
        <v>4</v>
      </c>
      <c r="B193" s="7">
        <v>42</v>
      </c>
      <c r="C193" s="7">
        <v>704.99</v>
      </c>
      <c r="D193" s="7" t="s">
        <v>27</v>
      </c>
      <c r="E193" s="7">
        <v>42.638356164383602</v>
      </c>
      <c r="F193" s="7">
        <v>15563</v>
      </c>
      <c r="G193" s="7">
        <v>10.4896600055944</v>
      </c>
      <c r="H193" s="7">
        <v>6.72820422554598</v>
      </c>
    </row>
    <row r="194" spans="1:8" x14ac:dyDescent="0.25">
      <c r="A194" s="7">
        <v>4</v>
      </c>
      <c r="B194" s="7">
        <v>43</v>
      </c>
      <c r="C194" s="7">
        <v>358.9</v>
      </c>
      <c r="D194" s="7" t="s">
        <v>28</v>
      </c>
      <c r="E194" s="7">
        <v>60.4575342465753</v>
      </c>
      <c r="F194" s="7">
        <v>22067</v>
      </c>
      <c r="G194" s="7">
        <v>12.188297121322201</v>
      </c>
      <c r="H194" s="7">
        <v>8.3883258520630601</v>
      </c>
    </row>
    <row r="195" spans="1:8" x14ac:dyDescent="0.25">
      <c r="A195" s="7">
        <v>4</v>
      </c>
      <c r="B195" s="7">
        <v>44</v>
      </c>
      <c r="C195" s="7">
        <v>908.1</v>
      </c>
      <c r="D195" s="7" t="s">
        <v>27</v>
      </c>
      <c r="E195" s="7">
        <v>34.5232876712329</v>
      </c>
      <c r="F195" s="7">
        <v>12601</v>
      </c>
      <c r="G195" s="7">
        <v>8.8918960081729708</v>
      </c>
      <c r="H195" s="7">
        <v>6.51221771469171</v>
      </c>
    </row>
    <row r="196" spans="1:8" x14ac:dyDescent="0.25">
      <c r="A196" s="7">
        <v>4</v>
      </c>
      <c r="B196" s="7">
        <v>45</v>
      </c>
      <c r="C196" s="7">
        <v>61</v>
      </c>
      <c r="D196" s="7" t="s">
        <v>29</v>
      </c>
      <c r="E196" s="7">
        <v>94.526027397260293</v>
      </c>
      <c r="F196" s="7">
        <v>34502</v>
      </c>
      <c r="G196" s="7">
        <v>16.0569452178073</v>
      </c>
      <c r="H196" s="7">
        <v>10.358150361123201</v>
      </c>
    </row>
    <row r="197" spans="1:8" x14ac:dyDescent="0.25">
      <c r="A197" s="7">
        <v>4</v>
      </c>
      <c r="B197" s="7">
        <v>46</v>
      </c>
      <c r="C197" s="7">
        <v>216.31</v>
      </c>
      <c r="D197" s="7" t="s">
        <v>28</v>
      </c>
      <c r="E197" s="7">
        <v>68.715068493150696</v>
      </c>
      <c r="F197" s="7">
        <v>25081</v>
      </c>
      <c r="G197" s="7">
        <v>12.847682589542901</v>
      </c>
      <c r="H197" s="7">
        <v>8.1973839727461897</v>
      </c>
    </row>
    <row r="198" spans="1:8" x14ac:dyDescent="0.25">
      <c r="A198" s="7">
        <v>4</v>
      </c>
      <c r="B198" s="7">
        <v>47</v>
      </c>
      <c r="C198" s="7">
        <v>1940.83</v>
      </c>
      <c r="D198" s="7" t="s">
        <v>27</v>
      </c>
      <c r="E198" s="7">
        <v>25.945205479452099</v>
      </c>
      <c r="F198" s="7">
        <v>9470</v>
      </c>
      <c r="G198" s="7">
        <v>6.5069333450998901</v>
      </c>
      <c r="H198" s="7">
        <v>4.8738634920057802</v>
      </c>
    </row>
    <row r="199" spans="1:8" x14ac:dyDescent="0.25">
      <c r="A199" s="7">
        <v>4</v>
      </c>
      <c r="B199" s="7">
        <v>48</v>
      </c>
      <c r="C199" s="7">
        <v>329.86</v>
      </c>
      <c r="D199" s="7" t="s">
        <v>28</v>
      </c>
      <c r="E199" s="7">
        <v>60.254794520548003</v>
      </c>
      <c r="F199" s="7">
        <v>21993</v>
      </c>
      <c r="G199" s="7">
        <v>11.9645668542391</v>
      </c>
      <c r="H199" s="7">
        <v>7.6364739973936304</v>
      </c>
    </row>
    <row r="200" spans="1:8" x14ac:dyDescent="0.25">
      <c r="A200" s="7">
        <v>4</v>
      </c>
      <c r="B200" s="7">
        <v>49</v>
      </c>
      <c r="C200" s="7">
        <v>988.06</v>
      </c>
      <c r="D200" s="7" t="s">
        <v>27</v>
      </c>
      <c r="E200" s="7">
        <v>34.657534246575402</v>
      </c>
      <c r="F200" s="7">
        <v>12650</v>
      </c>
      <c r="G200" s="7">
        <v>8.5262866070909809</v>
      </c>
      <c r="H200" s="7">
        <v>5.4123778123433501</v>
      </c>
    </row>
    <row r="201" spans="1:8" x14ac:dyDescent="0.25">
      <c r="A201" s="7">
        <v>4</v>
      </c>
      <c r="B201" s="7">
        <v>50</v>
      </c>
      <c r="C201" s="7">
        <v>154.34</v>
      </c>
      <c r="D201" s="7" t="s">
        <v>29</v>
      </c>
      <c r="E201" s="7">
        <v>76.786301369862997</v>
      </c>
      <c r="F201" s="7">
        <v>28027</v>
      </c>
      <c r="G201" s="7">
        <v>14.188761425450201</v>
      </c>
      <c r="H201" s="7">
        <v>9.6488236249205102</v>
      </c>
    </row>
    <row r="202" spans="1:8" x14ac:dyDescent="0.25">
      <c r="A202" s="7">
        <v>5</v>
      </c>
      <c r="B202" s="7">
        <v>1</v>
      </c>
      <c r="C202" s="7">
        <v>2297.6799999999998</v>
      </c>
      <c r="D202" s="7" t="s">
        <v>27</v>
      </c>
      <c r="E202" s="7">
        <v>18.591780821917801</v>
      </c>
      <c r="F202" s="7">
        <v>6786</v>
      </c>
      <c r="G202" s="7">
        <v>5.7593481209930699</v>
      </c>
      <c r="H202" s="7">
        <v>4.3464180413190796</v>
      </c>
    </row>
    <row r="203" spans="1:8" x14ac:dyDescent="0.25">
      <c r="A203" s="7">
        <v>5</v>
      </c>
      <c r="B203" s="7">
        <v>2</v>
      </c>
      <c r="C203" s="7">
        <v>235.35</v>
      </c>
      <c r="D203" s="7" t="s">
        <v>28</v>
      </c>
      <c r="E203" s="7">
        <v>50.101369863013701</v>
      </c>
      <c r="F203" s="7">
        <v>18287</v>
      </c>
      <c r="G203" s="7">
        <v>10.7619865061932</v>
      </c>
      <c r="H203" s="7">
        <v>7.9736056354553497</v>
      </c>
    </row>
    <row r="204" spans="1:8" x14ac:dyDescent="0.25">
      <c r="A204" s="7">
        <v>5</v>
      </c>
      <c r="B204" s="7">
        <v>3</v>
      </c>
      <c r="C204" s="7">
        <v>767.06</v>
      </c>
      <c r="D204" s="7" t="s">
        <v>27</v>
      </c>
      <c r="E204" s="7">
        <v>30.873972602739698</v>
      </c>
      <c r="F204" s="7">
        <v>11269</v>
      </c>
      <c r="G204" s="7">
        <v>8.0725552997996299</v>
      </c>
      <c r="H204" s="7">
        <v>5.5442314472127396</v>
      </c>
    </row>
    <row r="205" spans="1:8" x14ac:dyDescent="0.25">
      <c r="A205" s="7">
        <v>5</v>
      </c>
      <c r="B205" s="7">
        <v>4</v>
      </c>
      <c r="C205" s="7">
        <v>1783.76</v>
      </c>
      <c r="D205" s="7" t="s">
        <v>27</v>
      </c>
      <c r="E205" s="7">
        <v>18.638356164383602</v>
      </c>
      <c r="F205" s="7">
        <v>6803</v>
      </c>
      <c r="G205" s="7">
        <v>5.61761273691243</v>
      </c>
      <c r="H205" s="7">
        <v>3.9287635715535298</v>
      </c>
    </row>
    <row r="206" spans="1:8" x14ac:dyDescent="0.25">
      <c r="A206" s="7">
        <v>5</v>
      </c>
      <c r="B206" s="7">
        <v>5</v>
      </c>
      <c r="C206" s="7">
        <v>2500</v>
      </c>
      <c r="D206" s="7" t="s">
        <v>27</v>
      </c>
      <c r="E206" s="7">
        <v>15.8739726027397</v>
      </c>
      <c r="F206" s="7">
        <v>5794</v>
      </c>
      <c r="G206" s="7">
        <v>5.7941578069491602</v>
      </c>
      <c r="H206" s="7">
        <v>4.00472313689699</v>
      </c>
    </row>
    <row r="207" spans="1:8" x14ac:dyDescent="0.25">
      <c r="A207" s="7">
        <v>5</v>
      </c>
      <c r="B207" s="7">
        <v>6</v>
      </c>
      <c r="C207" s="7">
        <v>278.63</v>
      </c>
      <c r="D207" s="7" t="s">
        <v>28</v>
      </c>
      <c r="E207" s="7">
        <v>49.586301369863001</v>
      </c>
      <c r="F207" s="7">
        <v>18099</v>
      </c>
      <c r="G207" s="7">
        <v>10.7103862947113</v>
      </c>
      <c r="H207" s="7">
        <v>6.89561802739426</v>
      </c>
    </row>
    <row r="208" spans="1:8" x14ac:dyDescent="0.25">
      <c r="A208" s="7">
        <v>5</v>
      </c>
      <c r="B208" s="7">
        <v>7</v>
      </c>
      <c r="C208" s="7">
        <v>256.08</v>
      </c>
      <c r="D208" s="7" t="s">
        <v>28</v>
      </c>
      <c r="E208" s="7">
        <v>49.353424657534298</v>
      </c>
      <c r="F208" s="7">
        <v>18014</v>
      </c>
      <c r="G208" s="7">
        <v>10.999560213594901</v>
      </c>
      <c r="H208" s="7">
        <v>6.9596943866569596</v>
      </c>
    </row>
    <row r="209" spans="1:8" x14ac:dyDescent="0.25">
      <c r="A209" s="7">
        <v>5</v>
      </c>
      <c r="B209" s="7">
        <v>8</v>
      </c>
      <c r="C209" s="7">
        <v>85.49</v>
      </c>
      <c r="D209" s="7" t="s">
        <v>29</v>
      </c>
      <c r="E209" s="7">
        <v>66.139726027397302</v>
      </c>
      <c r="F209" s="7">
        <v>24141</v>
      </c>
      <c r="G209" s="7">
        <v>13.710102607977101</v>
      </c>
      <c r="H209" s="7">
        <v>8.3269445810044207</v>
      </c>
    </row>
    <row r="210" spans="1:8" x14ac:dyDescent="0.25">
      <c r="A210" s="7">
        <v>5</v>
      </c>
      <c r="B210" s="7">
        <v>9</v>
      </c>
      <c r="C210" s="7">
        <v>303.16000000000003</v>
      </c>
      <c r="D210" s="7" t="s">
        <v>28</v>
      </c>
      <c r="E210" s="7">
        <v>43.317808219178097</v>
      </c>
      <c r="F210" s="7">
        <v>15811</v>
      </c>
      <c r="G210" s="7">
        <v>11.2121689658716</v>
      </c>
      <c r="H210" s="7">
        <v>7.8842518609653096</v>
      </c>
    </row>
    <row r="211" spans="1:8" x14ac:dyDescent="0.25">
      <c r="A211" s="7">
        <v>5</v>
      </c>
      <c r="B211" s="7">
        <v>10</v>
      </c>
      <c r="C211" s="7">
        <v>93.02</v>
      </c>
      <c r="D211" s="7" t="s">
        <v>29</v>
      </c>
      <c r="E211" s="7">
        <v>62.054794520547901</v>
      </c>
      <c r="F211" s="7">
        <v>22650</v>
      </c>
      <c r="G211" s="7">
        <v>12.7952190366516</v>
      </c>
      <c r="H211" s="7">
        <v>8.1902136483389096</v>
      </c>
    </row>
    <row r="212" spans="1:8" x14ac:dyDescent="0.25">
      <c r="A212" s="7">
        <v>5</v>
      </c>
      <c r="B212" s="7">
        <v>11</v>
      </c>
      <c r="C212" s="7">
        <v>101.21</v>
      </c>
      <c r="D212" s="7" t="s">
        <v>29</v>
      </c>
      <c r="E212" s="7">
        <v>59.356164383561598</v>
      </c>
      <c r="F212" s="7">
        <v>21665</v>
      </c>
      <c r="G212" s="7">
        <v>12.212850883723901</v>
      </c>
      <c r="H212" s="7">
        <v>7.8542406633011002</v>
      </c>
    </row>
    <row r="213" spans="1:8" x14ac:dyDescent="0.25">
      <c r="A213" s="7">
        <v>5</v>
      </c>
      <c r="B213" s="7">
        <v>12</v>
      </c>
      <c r="C213" s="7">
        <v>110.12</v>
      </c>
      <c r="D213" s="7" t="s">
        <v>29</v>
      </c>
      <c r="E213" s="7">
        <v>59.287671232876697</v>
      </c>
      <c r="F213" s="7">
        <v>21640</v>
      </c>
      <c r="G213" s="7">
        <v>10.961579953149</v>
      </c>
      <c r="H213" s="7">
        <v>6.9909615419632702</v>
      </c>
    </row>
    <row r="214" spans="1:8" x14ac:dyDescent="0.25">
      <c r="A214" s="7">
        <v>5</v>
      </c>
      <c r="B214" s="7">
        <v>13</v>
      </c>
      <c r="C214" s="7">
        <v>47.35</v>
      </c>
      <c r="D214" s="7" t="s">
        <v>29</v>
      </c>
      <c r="E214" s="7">
        <v>71.641095890410995</v>
      </c>
      <c r="F214" s="7">
        <v>26149</v>
      </c>
      <c r="G214" s="7">
        <v>16.336387853013601</v>
      </c>
      <c r="H214" s="7">
        <v>9.8370034896078398</v>
      </c>
    </row>
    <row r="215" spans="1:8" x14ac:dyDescent="0.25">
      <c r="A215" s="7">
        <v>5</v>
      </c>
      <c r="B215" s="7">
        <v>14</v>
      </c>
      <c r="C215" s="7">
        <v>182.71</v>
      </c>
      <c r="D215" s="7" t="s">
        <v>28</v>
      </c>
      <c r="E215" s="7">
        <v>49.638356164383602</v>
      </c>
      <c r="F215" s="7">
        <v>18118</v>
      </c>
      <c r="G215" s="7">
        <v>11.7706371006169</v>
      </c>
      <c r="H215" s="7">
        <v>7.4680897733627898</v>
      </c>
    </row>
    <row r="216" spans="1:8" x14ac:dyDescent="0.25">
      <c r="A216" s="7">
        <v>5</v>
      </c>
      <c r="B216" s="7">
        <v>15</v>
      </c>
      <c r="C216" s="7">
        <v>40</v>
      </c>
      <c r="D216" s="7" t="s">
        <v>29</v>
      </c>
      <c r="E216" s="7">
        <v>74.435616438356206</v>
      </c>
      <c r="F216" s="7">
        <v>27169</v>
      </c>
      <c r="G216" s="7">
        <v>15.353779118051801</v>
      </c>
      <c r="H216" s="7">
        <v>9.41248945311842</v>
      </c>
    </row>
    <row r="217" spans="1:8" x14ac:dyDescent="0.25">
      <c r="A217" s="7">
        <v>5</v>
      </c>
      <c r="B217" s="7">
        <v>16</v>
      </c>
      <c r="C217" s="7">
        <v>1506.73</v>
      </c>
      <c r="D217" s="7" t="s">
        <v>27</v>
      </c>
      <c r="E217" s="7">
        <v>21.575342465753401</v>
      </c>
      <c r="F217" s="7">
        <v>7875</v>
      </c>
      <c r="G217" s="7">
        <v>6.4041594671470996</v>
      </c>
      <c r="H217" s="7">
        <v>4.5361585819569701</v>
      </c>
    </row>
    <row r="218" spans="1:8" x14ac:dyDescent="0.25">
      <c r="A218" s="7">
        <v>5</v>
      </c>
      <c r="B218" s="7">
        <v>17</v>
      </c>
      <c r="C218" s="7">
        <v>834.61</v>
      </c>
      <c r="D218" s="7" t="s">
        <v>27</v>
      </c>
      <c r="E218" s="7">
        <v>28.0493150684932</v>
      </c>
      <c r="F218" s="7">
        <v>10238</v>
      </c>
      <c r="G218" s="7">
        <v>8.7859492896992002</v>
      </c>
      <c r="H218" s="7">
        <v>6.1026463864841203</v>
      </c>
    </row>
    <row r="219" spans="1:8" x14ac:dyDescent="0.25">
      <c r="A219" s="7">
        <v>5</v>
      </c>
      <c r="B219" s="7">
        <v>18</v>
      </c>
      <c r="C219" s="7">
        <v>51.52</v>
      </c>
      <c r="D219" s="7" t="s">
        <v>29</v>
      </c>
      <c r="E219" s="7">
        <v>71.756164383561597</v>
      </c>
      <c r="F219" s="7">
        <v>26191</v>
      </c>
      <c r="G219" s="7">
        <v>11.662989432541901</v>
      </c>
      <c r="H219" s="7">
        <v>8.6646330871950603</v>
      </c>
    </row>
    <row r="220" spans="1:8" x14ac:dyDescent="0.25">
      <c r="A220" s="7">
        <v>5</v>
      </c>
      <c r="B220" s="7">
        <v>19</v>
      </c>
      <c r="C220" s="7">
        <v>547.29999999999995</v>
      </c>
      <c r="D220" s="7" t="s">
        <v>27</v>
      </c>
      <c r="E220" s="7">
        <v>34.876712328767098</v>
      </c>
      <c r="F220" s="7">
        <v>12730</v>
      </c>
      <c r="G220" s="7">
        <v>7.2721562859512696</v>
      </c>
      <c r="H220" s="7">
        <v>4.8413563461200804</v>
      </c>
    </row>
    <row r="221" spans="1:8" x14ac:dyDescent="0.25">
      <c r="A221" s="7">
        <v>5</v>
      </c>
      <c r="B221" s="7">
        <v>20</v>
      </c>
      <c r="C221" s="7">
        <v>424.89</v>
      </c>
      <c r="D221" s="7" t="s">
        <v>28</v>
      </c>
      <c r="E221" s="7">
        <v>40.0465753424658</v>
      </c>
      <c r="F221" s="7">
        <v>14617</v>
      </c>
      <c r="G221" s="7">
        <v>10.7290557535432</v>
      </c>
      <c r="H221" s="7">
        <v>7.0761429965743501</v>
      </c>
    </row>
    <row r="222" spans="1:8" x14ac:dyDescent="0.25">
      <c r="A222" s="7">
        <v>5</v>
      </c>
      <c r="B222" s="7">
        <v>21</v>
      </c>
      <c r="C222" s="7">
        <v>647.92999999999995</v>
      </c>
      <c r="D222" s="7" t="s">
        <v>27</v>
      </c>
      <c r="E222" s="7">
        <v>34.115068493150702</v>
      </c>
      <c r="F222" s="7">
        <v>12452</v>
      </c>
      <c r="G222" s="7">
        <v>7.9776323712812101</v>
      </c>
      <c r="H222" s="7">
        <v>5.7946801826538099</v>
      </c>
    </row>
    <row r="223" spans="1:8" x14ac:dyDescent="0.25">
      <c r="A223" s="7">
        <v>5</v>
      </c>
      <c r="B223" s="7">
        <v>22</v>
      </c>
      <c r="C223" s="7">
        <v>72.209999999999994</v>
      </c>
      <c r="D223" s="7" t="s">
        <v>29</v>
      </c>
      <c r="E223" s="7">
        <v>67.9643835616438</v>
      </c>
      <c r="F223" s="7">
        <v>24807</v>
      </c>
      <c r="G223" s="7">
        <v>11.740708782429101</v>
      </c>
      <c r="H223" s="7">
        <v>7.5427374275785697</v>
      </c>
    </row>
    <row r="224" spans="1:8" x14ac:dyDescent="0.25">
      <c r="A224" s="7">
        <v>5</v>
      </c>
      <c r="B224" s="7">
        <v>23</v>
      </c>
      <c r="C224" s="7">
        <v>1075.06</v>
      </c>
      <c r="D224" s="7" t="s">
        <v>27</v>
      </c>
      <c r="E224" s="7">
        <v>24.920547945205499</v>
      </c>
      <c r="F224" s="7">
        <v>9096</v>
      </c>
      <c r="G224" s="7">
        <v>6.96969756771266</v>
      </c>
      <c r="H224" s="7">
        <v>5.1469072049809901</v>
      </c>
    </row>
    <row r="225" spans="1:8" x14ac:dyDescent="0.25">
      <c r="A225" s="7">
        <v>5</v>
      </c>
      <c r="B225" s="7">
        <v>24</v>
      </c>
      <c r="C225" s="7">
        <v>141.85</v>
      </c>
      <c r="D225" s="7" t="s">
        <v>29</v>
      </c>
      <c r="E225" s="7">
        <v>55.805479452054797</v>
      </c>
      <c r="F225" s="7">
        <v>20369</v>
      </c>
      <c r="G225" s="7">
        <v>12.789275809388901</v>
      </c>
      <c r="H225" s="7">
        <v>8.4396189812588407</v>
      </c>
    </row>
    <row r="226" spans="1:8" x14ac:dyDescent="0.25">
      <c r="A226" s="7">
        <v>5</v>
      </c>
      <c r="B226" s="7">
        <v>25</v>
      </c>
      <c r="C226" s="7">
        <v>56.06</v>
      </c>
      <c r="D226" s="7" t="s">
        <v>29</v>
      </c>
      <c r="E226" s="7">
        <v>69.350684931506905</v>
      </c>
      <c r="F226" s="7">
        <v>25313</v>
      </c>
      <c r="G226" s="7">
        <v>13.9771501469467</v>
      </c>
      <c r="H226" s="7">
        <v>8.9716134399729803</v>
      </c>
    </row>
    <row r="227" spans="1:8" x14ac:dyDescent="0.25">
      <c r="A227" s="7">
        <v>5</v>
      </c>
      <c r="B227" s="7">
        <v>26</v>
      </c>
      <c r="C227" s="7">
        <v>390.5</v>
      </c>
      <c r="D227" s="7" t="s">
        <v>28</v>
      </c>
      <c r="E227" s="7">
        <v>40.613698630137002</v>
      </c>
      <c r="F227" s="7">
        <v>14824</v>
      </c>
      <c r="G227" s="7">
        <v>10.308059552328601</v>
      </c>
      <c r="H227" s="7">
        <v>6.9348341232444</v>
      </c>
    </row>
    <row r="228" spans="1:8" x14ac:dyDescent="0.25">
      <c r="A228" s="7">
        <v>5</v>
      </c>
      <c r="B228" s="7">
        <v>27</v>
      </c>
      <c r="C228" s="7">
        <v>1639.41</v>
      </c>
      <c r="D228" s="7" t="s">
        <v>27</v>
      </c>
      <c r="E228" s="7">
        <v>18.909589041095899</v>
      </c>
      <c r="F228" s="7">
        <v>6902</v>
      </c>
      <c r="G228" s="7">
        <v>7.0871562058754396</v>
      </c>
      <c r="H228" s="7">
        <v>4.67737231961158</v>
      </c>
    </row>
    <row r="229" spans="1:8" x14ac:dyDescent="0.25">
      <c r="A229" s="7">
        <v>5</v>
      </c>
      <c r="B229" s="7">
        <v>28</v>
      </c>
      <c r="C229" s="7">
        <v>43.52</v>
      </c>
      <c r="D229" s="7" t="s">
        <v>29</v>
      </c>
      <c r="E229" s="7">
        <v>74.868493150684898</v>
      </c>
      <c r="F229" s="7">
        <v>27327</v>
      </c>
      <c r="G229" s="7">
        <v>14.5182719281676</v>
      </c>
      <c r="H229" s="7">
        <v>8.9012829401902298</v>
      </c>
    </row>
    <row r="230" spans="1:8" x14ac:dyDescent="0.25">
      <c r="A230" s="7">
        <v>5</v>
      </c>
      <c r="B230" s="7">
        <v>29</v>
      </c>
      <c r="C230" s="7">
        <v>119.82</v>
      </c>
      <c r="D230" s="7" t="s">
        <v>29</v>
      </c>
      <c r="E230" s="7">
        <v>59.079452054794501</v>
      </c>
      <c r="F230" s="7">
        <v>21564</v>
      </c>
      <c r="G230" s="7">
        <v>11.1953082111937</v>
      </c>
      <c r="H230" s="7">
        <v>8.3570311053103801</v>
      </c>
    </row>
    <row r="231" spans="1:8" x14ac:dyDescent="0.25">
      <c r="A231" s="7">
        <v>5</v>
      </c>
      <c r="B231" s="7">
        <v>30</v>
      </c>
      <c r="C231" s="7">
        <v>595.5</v>
      </c>
      <c r="D231" s="7" t="s">
        <v>27</v>
      </c>
      <c r="E231" s="7">
        <v>34.369863013698598</v>
      </c>
      <c r="F231" s="7">
        <v>12545</v>
      </c>
      <c r="G231" s="7">
        <v>9.2654424241810798</v>
      </c>
      <c r="H231" s="7">
        <v>6.5996934530900004</v>
      </c>
    </row>
    <row r="232" spans="1:8" x14ac:dyDescent="0.25">
      <c r="A232" s="7">
        <v>5</v>
      </c>
      <c r="B232" s="7">
        <v>31</v>
      </c>
      <c r="C232" s="7">
        <v>198.8</v>
      </c>
      <c r="D232" s="7" t="s">
        <v>28</v>
      </c>
      <c r="E232" s="7">
        <v>50.0246575342466</v>
      </c>
      <c r="F232" s="7">
        <v>18259</v>
      </c>
      <c r="G232" s="7">
        <v>11.9794775938238</v>
      </c>
      <c r="H232" s="7">
        <v>8.4429576852199393</v>
      </c>
    </row>
    <row r="233" spans="1:8" x14ac:dyDescent="0.25">
      <c r="A233" s="7">
        <v>5</v>
      </c>
      <c r="B233" s="7">
        <v>32</v>
      </c>
      <c r="C233" s="7">
        <v>462.3</v>
      </c>
      <c r="D233" s="7" t="s">
        <v>28</v>
      </c>
      <c r="E233" s="7">
        <v>37.312328767123297</v>
      </c>
      <c r="F233" s="7">
        <v>13619</v>
      </c>
      <c r="G233" s="7">
        <v>9.3914384468669105</v>
      </c>
      <c r="H233" s="7">
        <v>6.4886237375571101</v>
      </c>
    </row>
    <row r="234" spans="1:8" x14ac:dyDescent="0.25">
      <c r="A234" s="7">
        <v>5</v>
      </c>
      <c r="B234" s="7">
        <v>33</v>
      </c>
      <c r="C234" s="7">
        <v>130.37</v>
      </c>
      <c r="D234" s="7" t="s">
        <v>29</v>
      </c>
      <c r="E234" s="7">
        <v>59.572602739726001</v>
      </c>
      <c r="F234" s="7">
        <v>21744</v>
      </c>
      <c r="G234" s="7">
        <v>10.877241436637499</v>
      </c>
      <c r="H234" s="7">
        <v>6.5969596492826303</v>
      </c>
    </row>
    <row r="235" spans="1:8" x14ac:dyDescent="0.25">
      <c r="A235" s="7">
        <v>5</v>
      </c>
      <c r="B235" s="7">
        <v>34</v>
      </c>
      <c r="C235" s="7">
        <v>1384.8</v>
      </c>
      <c r="D235" s="7" t="s">
        <v>27</v>
      </c>
      <c r="E235" s="7">
        <v>21.824657534246601</v>
      </c>
      <c r="F235" s="7">
        <v>7966</v>
      </c>
      <c r="G235" s="7">
        <v>7.4235070391716302</v>
      </c>
      <c r="H235" s="7">
        <v>4.9814728369108003</v>
      </c>
    </row>
    <row r="236" spans="1:8" x14ac:dyDescent="0.25">
      <c r="A236" s="7">
        <v>5</v>
      </c>
      <c r="B236" s="7">
        <v>35</v>
      </c>
      <c r="C236" s="7">
        <v>167.93</v>
      </c>
      <c r="D236" s="7" t="s">
        <v>28</v>
      </c>
      <c r="E236" s="7">
        <v>56.276712328767097</v>
      </c>
      <c r="F236" s="7">
        <v>20541</v>
      </c>
      <c r="G236" s="7">
        <v>11.3301400511466</v>
      </c>
      <c r="H236" s="7">
        <v>7.4387626901716901</v>
      </c>
    </row>
    <row r="237" spans="1:8" x14ac:dyDescent="0.25">
      <c r="A237" s="7">
        <v>5</v>
      </c>
      <c r="B237" s="7">
        <v>36</v>
      </c>
      <c r="C237" s="7">
        <v>78.569999999999993</v>
      </c>
      <c r="D237" s="7" t="s">
        <v>29</v>
      </c>
      <c r="E237" s="7">
        <v>65.013698630137</v>
      </c>
      <c r="F237" s="7">
        <v>23730</v>
      </c>
      <c r="G237" s="7">
        <v>12.4098805863787</v>
      </c>
      <c r="H237" s="7">
        <v>8.9314756360968204</v>
      </c>
    </row>
    <row r="238" spans="1:8" x14ac:dyDescent="0.25">
      <c r="A238" s="7">
        <v>5</v>
      </c>
      <c r="B238" s="7">
        <v>37</v>
      </c>
      <c r="C238" s="7">
        <v>1169.73</v>
      </c>
      <c r="D238" s="7" t="s">
        <v>27</v>
      </c>
      <c r="E238" s="7">
        <v>25.109589041095902</v>
      </c>
      <c r="F238" s="7">
        <v>9165</v>
      </c>
      <c r="G238" s="7">
        <v>6.5607073575957804</v>
      </c>
      <c r="H238" s="7">
        <v>5.16576069524577</v>
      </c>
    </row>
    <row r="239" spans="1:8" x14ac:dyDescent="0.25">
      <c r="A239" s="7">
        <v>5</v>
      </c>
      <c r="B239" s="7">
        <v>38</v>
      </c>
      <c r="C239" s="7">
        <v>66.37</v>
      </c>
      <c r="D239" s="7" t="s">
        <v>29</v>
      </c>
      <c r="E239" s="7">
        <v>68.808219178082197</v>
      </c>
      <c r="F239" s="7">
        <v>25115</v>
      </c>
      <c r="G239" s="7">
        <v>13.209564503122699</v>
      </c>
      <c r="H239" s="7">
        <v>9.3826040054270905</v>
      </c>
    </row>
    <row r="240" spans="1:8" x14ac:dyDescent="0.25">
      <c r="A240" s="7">
        <v>5</v>
      </c>
      <c r="B240" s="7">
        <v>39</v>
      </c>
      <c r="C240" s="7">
        <v>503.01</v>
      </c>
      <c r="D240" s="7" t="s">
        <v>27</v>
      </c>
      <c r="E240" s="7">
        <v>37.5041095890411</v>
      </c>
      <c r="F240" s="7">
        <v>13689</v>
      </c>
      <c r="G240" s="7">
        <v>9.95414114545407</v>
      </c>
      <c r="H240" s="7">
        <v>6.67782846273502</v>
      </c>
    </row>
    <row r="241" spans="1:8" x14ac:dyDescent="0.25">
      <c r="A241" s="7">
        <v>5</v>
      </c>
      <c r="B241" s="7">
        <v>40</v>
      </c>
      <c r="C241" s="7">
        <v>1272.73</v>
      </c>
      <c r="D241" s="7" t="s">
        <v>27</v>
      </c>
      <c r="E241" s="7">
        <v>24.873972602739698</v>
      </c>
      <c r="F241" s="7">
        <v>9079</v>
      </c>
      <c r="G241" s="7">
        <v>7.5579225336309799</v>
      </c>
      <c r="H241" s="7">
        <v>5.1083110769633802</v>
      </c>
    </row>
    <row r="242" spans="1:8" x14ac:dyDescent="0.25">
      <c r="A242" s="7">
        <v>5</v>
      </c>
      <c r="B242" s="7">
        <v>41</v>
      </c>
      <c r="C242" s="7">
        <v>2111.73</v>
      </c>
      <c r="D242" s="7" t="s">
        <v>27</v>
      </c>
      <c r="E242" s="7">
        <v>18.7616438356164</v>
      </c>
      <c r="F242" s="7">
        <v>6848</v>
      </c>
      <c r="G242" s="7">
        <v>6.43334748526929</v>
      </c>
      <c r="H242" s="7">
        <v>4.6441280278613801</v>
      </c>
    </row>
    <row r="243" spans="1:8" x14ac:dyDescent="0.25">
      <c r="A243" s="7">
        <v>5</v>
      </c>
      <c r="B243" s="7">
        <v>42</v>
      </c>
      <c r="C243" s="7">
        <v>704.99</v>
      </c>
      <c r="D243" s="7" t="s">
        <v>27</v>
      </c>
      <c r="E243" s="7">
        <v>30.7424657534247</v>
      </c>
      <c r="F243" s="7">
        <v>11221</v>
      </c>
      <c r="G243" s="7">
        <v>7.6529709684573897</v>
      </c>
      <c r="H243" s="7">
        <v>5.4763233661583399</v>
      </c>
    </row>
    <row r="244" spans="1:8" x14ac:dyDescent="0.25">
      <c r="A244" s="7">
        <v>5</v>
      </c>
      <c r="B244" s="7">
        <v>43</v>
      </c>
      <c r="C244" s="7">
        <v>358.9</v>
      </c>
      <c r="D244" s="7" t="s">
        <v>28</v>
      </c>
      <c r="E244" s="7">
        <v>43.4931506849315</v>
      </c>
      <c r="F244" s="7">
        <v>15875</v>
      </c>
      <c r="G244" s="7">
        <v>9.8818328825179194</v>
      </c>
      <c r="H244" s="7">
        <v>6.1930602061315501</v>
      </c>
    </row>
    <row r="245" spans="1:8" x14ac:dyDescent="0.25">
      <c r="A245" s="7">
        <v>5</v>
      </c>
      <c r="B245" s="7">
        <v>44</v>
      </c>
      <c r="C245" s="7">
        <v>908.1</v>
      </c>
      <c r="D245" s="7" t="s">
        <v>27</v>
      </c>
      <c r="E245" s="7">
        <v>25.060273972602701</v>
      </c>
      <c r="F245" s="7">
        <v>9147</v>
      </c>
      <c r="G245" s="7">
        <v>7.67217563832597</v>
      </c>
      <c r="H245" s="7">
        <v>5.1184959616125196</v>
      </c>
    </row>
    <row r="246" spans="1:8" x14ac:dyDescent="0.25">
      <c r="A246" s="7">
        <v>5</v>
      </c>
      <c r="B246" s="7">
        <v>45</v>
      </c>
      <c r="C246" s="7">
        <v>61</v>
      </c>
      <c r="D246" s="7" t="s">
        <v>29</v>
      </c>
      <c r="E246" s="7">
        <v>68.323287671232904</v>
      </c>
      <c r="F246" s="7">
        <v>24938</v>
      </c>
      <c r="G246" s="7">
        <v>12.2398929121035</v>
      </c>
      <c r="H246" s="7">
        <v>8.6728177281593393</v>
      </c>
    </row>
    <row r="247" spans="1:8" x14ac:dyDescent="0.25">
      <c r="A247" s="7">
        <v>5</v>
      </c>
      <c r="B247" s="7">
        <v>46</v>
      </c>
      <c r="C247" s="7">
        <v>216.31</v>
      </c>
      <c r="D247" s="7" t="s">
        <v>28</v>
      </c>
      <c r="E247" s="7">
        <v>50.367123287671198</v>
      </c>
      <c r="F247" s="7">
        <v>18384</v>
      </c>
      <c r="G247" s="7">
        <v>10.412284633318301</v>
      </c>
      <c r="H247" s="7">
        <v>8.0470616645135404</v>
      </c>
    </row>
    <row r="248" spans="1:8" x14ac:dyDescent="0.25">
      <c r="A248" s="7">
        <v>5</v>
      </c>
      <c r="B248" s="7">
        <v>47</v>
      </c>
      <c r="C248" s="7">
        <v>1940.83</v>
      </c>
      <c r="D248" s="7" t="s">
        <v>27</v>
      </c>
      <c r="E248" s="7">
        <v>18.5260273972603</v>
      </c>
      <c r="F248" s="7">
        <v>6762</v>
      </c>
      <c r="G248" s="7">
        <v>6.4607584620107401</v>
      </c>
      <c r="H248" s="7">
        <v>4.7371305308715499</v>
      </c>
    </row>
    <row r="249" spans="1:8" x14ac:dyDescent="0.25">
      <c r="A249" s="7">
        <v>5</v>
      </c>
      <c r="B249" s="7">
        <v>48</v>
      </c>
      <c r="C249" s="7">
        <v>329.86</v>
      </c>
      <c r="D249" s="7" t="s">
        <v>28</v>
      </c>
      <c r="E249" s="7">
        <v>43.5424657534247</v>
      </c>
      <c r="F249" s="7">
        <v>15893</v>
      </c>
      <c r="G249" s="7">
        <v>10.555809182681999</v>
      </c>
      <c r="H249" s="7">
        <v>7.0938511614780602</v>
      </c>
    </row>
    <row r="250" spans="1:8" x14ac:dyDescent="0.25">
      <c r="A250" s="7">
        <v>5</v>
      </c>
      <c r="B250" s="7">
        <v>49</v>
      </c>
      <c r="C250" s="7">
        <v>988.06</v>
      </c>
      <c r="D250" s="7" t="s">
        <v>27</v>
      </c>
      <c r="E250" s="7">
        <v>25.339726027397301</v>
      </c>
      <c r="F250" s="7">
        <v>9249</v>
      </c>
      <c r="G250" s="7">
        <v>6.1954547709141101</v>
      </c>
      <c r="H250" s="7">
        <v>4.2556651264141001</v>
      </c>
    </row>
    <row r="251" spans="1:8" x14ac:dyDescent="0.25">
      <c r="A251" s="7">
        <v>5</v>
      </c>
      <c r="B251" s="7">
        <v>50</v>
      </c>
      <c r="C251" s="7">
        <v>154.34</v>
      </c>
      <c r="D251" s="7" t="s">
        <v>29</v>
      </c>
      <c r="E251" s="7">
        <v>56.397260273972599</v>
      </c>
      <c r="F251" s="7">
        <v>20585</v>
      </c>
      <c r="G251" s="7">
        <v>10.993982630741501</v>
      </c>
      <c r="H251" s="7">
        <v>7.7317417226522096</v>
      </c>
    </row>
    <row r="252" spans="1:8" x14ac:dyDescent="0.25">
      <c r="A252" s="7">
        <v>6</v>
      </c>
      <c r="B252" s="7">
        <v>1</v>
      </c>
      <c r="C252" s="7">
        <v>2297.6799999999998</v>
      </c>
      <c r="D252" s="7" t="s">
        <v>27</v>
      </c>
      <c r="E252" s="7">
        <v>18.427397260273999</v>
      </c>
      <c r="F252" s="7">
        <v>6726</v>
      </c>
      <c r="G252" s="7">
        <v>6.1330992843992096</v>
      </c>
      <c r="H252" s="7">
        <v>4.12131149765505</v>
      </c>
    </row>
    <row r="253" spans="1:8" x14ac:dyDescent="0.25">
      <c r="A253" s="7">
        <v>6</v>
      </c>
      <c r="B253" s="7">
        <v>2</v>
      </c>
      <c r="C253" s="7">
        <v>235.35</v>
      </c>
      <c r="D253" s="7" t="s">
        <v>28</v>
      </c>
      <c r="E253" s="7">
        <v>50.194520547945203</v>
      </c>
      <c r="F253" s="7">
        <v>18321</v>
      </c>
      <c r="G253" s="7">
        <v>11.1765145205256</v>
      </c>
      <c r="H253" s="7">
        <v>7.1021912073549798</v>
      </c>
    </row>
    <row r="254" spans="1:8" x14ac:dyDescent="0.25">
      <c r="A254" s="7">
        <v>6</v>
      </c>
      <c r="B254" s="7">
        <v>3</v>
      </c>
      <c r="C254" s="7">
        <v>767.06</v>
      </c>
      <c r="D254" s="7" t="s">
        <v>27</v>
      </c>
      <c r="E254" s="7">
        <v>31.027397260274</v>
      </c>
      <c r="F254" s="7">
        <v>11325</v>
      </c>
      <c r="G254" s="7">
        <v>9.5580805586477204</v>
      </c>
      <c r="H254" s="7">
        <v>6.4927071195183403</v>
      </c>
    </row>
    <row r="255" spans="1:8" x14ac:dyDescent="0.25">
      <c r="A255" s="7">
        <v>6</v>
      </c>
      <c r="B255" s="7">
        <v>4</v>
      </c>
      <c r="C255" s="7">
        <v>1783.76</v>
      </c>
      <c r="D255" s="7" t="s">
        <v>27</v>
      </c>
      <c r="E255" s="7">
        <v>18.5260273972603</v>
      </c>
      <c r="F255" s="7">
        <v>6762</v>
      </c>
      <c r="G255" s="7">
        <v>6.9017748397672198</v>
      </c>
      <c r="H255" s="7">
        <v>4.7549896760227899</v>
      </c>
    </row>
    <row r="256" spans="1:8" x14ac:dyDescent="0.25">
      <c r="A256" s="7">
        <v>6</v>
      </c>
      <c r="B256" s="7">
        <v>5</v>
      </c>
      <c r="C256" s="7">
        <v>2500</v>
      </c>
      <c r="D256" s="7" t="s">
        <v>27</v>
      </c>
      <c r="E256" s="7">
        <v>15.339726027397299</v>
      </c>
      <c r="F256" s="7">
        <v>5599</v>
      </c>
      <c r="G256" s="7">
        <v>6.1788424195382197</v>
      </c>
      <c r="H256" s="7">
        <v>4.1485801685001196</v>
      </c>
    </row>
    <row r="257" spans="1:8" x14ac:dyDescent="0.25">
      <c r="A257" s="7">
        <v>6</v>
      </c>
      <c r="B257" s="7">
        <v>6</v>
      </c>
      <c r="C257" s="7">
        <v>278.63</v>
      </c>
      <c r="D257" s="7" t="s">
        <v>28</v>
      </c>
      <c r="E257" s="7">
        <v>49.816438356164397</v>
      </c>
      <c r="F257" s="7">
        <v>18183</v>
      </c>
      <c r="G257" s="7">
        <v>10.5644055712594</v>
      </c>
      <c r="H257" s="7">
        <v>7.0179614306571603</v>
      </c>
    </row>
    <row r="258" spans="1:8" x14ac:dyDescent="0.25">
      <c r="A258" s="7">
        <v>6</v>
      </c>
      <c r="B258" s="7">
        <v>7</v>
      </c>
      <c r="C258" s="7">
        <v>256.08</v>
      </c>
      <c r="D258" s="7" t="s">
        <v>28</v>
      </c>
      <c r="E258" s="7">
        <v>49.627397260274002</v>
      </c>
      <c r="F258" s="7">
        <v>18114</v>
      </c>
      <c r="G258" s="7">
        <v>10.2723774818897</v>
      </c>
      <c r="H258" s="7">
        <v>7.4700468779196498</v>
      </c>
    </row>
    <row r="259" spans="1:8" x14ac:dyDescent="0.25">
      <c r="A259" s="7">
        <v>6</v>
      </c>
      <c r="B259" s="7">
        <v>8</v>
      </c>
      <c r="C259" s="7">
        <v>85.49</v>
      </c>
      <c r="D259" s="7" t="s">
        <v>29</v>
      </c>
      <c r="E259" s="7">
        <v>65.0164383561644</v>
      </c>
      <c r="F259" s="7">
        <v>23731</v>
      </c>
      <c r="G259" s="7">
        <v>13.3695811434847</v>
      </c>
      <c r="H259" s="7">
        <v>8.6805204447524904</v>
      </c>
    </row>
    <row r="260" spans="1:8" x14ac:dyDescent="0.25">
      <c r="A260" s="7">
        <v>6</v>
      </c>
      <c r="B260" s="7">
        <v>9</v>
      </c>
      <c r="C260" s="7">
        <v>303.16000000000003</v>
      </c>
      <c r="D260" s="7" t="s">
        <v>28</v>
      </c>
      <c r="E260" s="7">
        <v>44.4575342465753</v>
      </c>
      <c r="F260" s="7">
        <v>16227</v>
      </c>
      <c r="G260" s="7">
        <v>8.8631025446866101</v>
      </c>
      <c r="H260" s="7">
        <v>6.4955481613431401</v>
      </c>
    </row>
    <row r="261" spans="1:8" x14ac:dyDescent="0.25">
      <c r="A261" s="7">
        <v>6</v>
      </c>
      <c r="B261" s="7">
        <v>10</v>
      </c>
      <c r="C261" s="7">
        <v>93.02</v>
      </c>
      <c r="D261" s="7" t="s">
        <v>29</v>
      </c>
      <c r="E261" s="7">
        <v>62.142465753424702</v>
      </c>
      <c r="F261" s="7">
        <v>22682</v>
      </c>
      <c r="G261" s="7">
        <v>10.697598088981801</v>
      </c>
      <c r="H261" s="7">
        <v>6.4882017812097601</v>
      </c>
    </row>
    <row r="262" spans="1:8" x14ac:dyDescent="0.25">
      <c r="A262" s="7">
        <v>6</v>
      </c>
      <c r="B262" s="7">
        <v>11</v>
      </c>
      <c r="C262" s="7">
        <v>101.21</v>
      </c>
      <c r="D262" s="7" t="s">
        <v>29</v>
      </c>
      <c r="E262" s="7">
        <v>58.742465753424703</v>
      </c>
      <c r="F262" s="7">
        <v>21441</v>
      </c>
      <c r="G262" s="7">
        <v>11.6926314487326</v>
      </c>
      <c r="H262" s="7">
        <v>8.2998509189651006</v>
      </c>
    </row>
    <row r="263" spans="1:8" x14ac:dyDescent="0.25">
      <c r="A263" s="7">
        <v>6</v>
      </c>
      <c r="B263" s="7">
        <v>12</v>
      </c>
      <c r="C263" s="7">
        <v>110.12</v>
      </c>
      <c r="D263" s="7" t="s">
        <v>29</v>
      </c>
      <c r="E263" s="7">
        <v>58.5452054794521</v>
      </c>
      <c r="F263" s="7">
        <v>21369</v>
      </c>
      <c r="G263" s="7">
        <v>11.900607652302</v>
      </c>
      <c r="H263" s="7">
        <v>8.4631748248683092</v>
      </c>
    </row>
    <row r="264" spans="1:8" x14ac:dyDescent="0.25">
      <c r="A264" s="7">
        <v>6</v>
      </c>
      <c r="B264" s="7">
        <v>13</v>
      </c>
      <c r="C264" s="7">
        <v>47.35</v>
      </c>
      <c r="D264" s="7" t="s">
        <v>29</v>
      </c>
      <c r="E264" s="7">
        <v>71.9945205479452</v>
      </c>
      <c r="F264" s="7">
        <v>26278</v>
      </c>
      <c r="G264" s="7">
        <v>14.864445630707699</v>
      </c>
      <c r="H264" s="7">
        <v>9.8858460738782092</v>
      </c>
    </row>
    <row r="265" spans="1:8" x14ac:dyDescent="0.25">
      <c r="A265" s="7">
        <v>6</v>
      </c>
      <c r="B265" s="7">
        <v>14</v>
      </c>
      <c r="C265" s="7">
        <v>182.71</v>
      </c>
      <c r="D265" s="7" t="s">
        <v>28</v>
      </c>
      <c r="E265" s="7">
        <v>50.147945205479502</v>
      </c>
      <c r="F265" s="7">
        <v>18304</v>
      </c>
      <c r="G265" s="7">
        <v>11.146609099180701</v>
      </c>
      <c r="H265" s="7">
        <v>7.6098883609933399</v>
      </c>
    </row>
    <row r="266" spans="1:8" x14ac:dyDescent="0.25">
      <c r="A266" s="7">
        <v>6</v>
      </c>
      <c r="B266" s="7">
        <v>15</v>
      </c>
      <c r="C266" s="7">
        <v>40</v>
      </c>
      <c r="D266" s="7" t="s">
        <v>29</v>
      </c>
      <c r="E266" s="7">
        <v>74.378082191780805</v>
      </c>
      <c r="F266" s="7">
        <v>27148</v>
      </c>
      <c r="G266" s="7">
        <v>12.298577833327199</v>
      </c>
      <c r="H266" s="7">
        <v>9.8587741694623094</v>
      </c>
    </row>
    <row r="267" spans="1:8" x14ac:dyDescent="0.25">
      <c r="A267" s="7">
        <v>6</v>
      </c>
      <c r="B267" s="7">
        <v>16</v>
      </c>
      <c r="C267" s="7">
        <v>1506.73</v>
      </c>
      <c r="D267" s="7" t="s">
        <v>27</v>
      </c>
      <c r="E267" s="7">
        <v>21.843835616438401</v>
      </c>
      <c r="F267" s="7">
        <v>7973</v>
      </c>
      <c r="G267" s="7">
        <v>6.0403465093632898</v>
      </c>
      <c r="H267" s="7">
        <v>3.9692899842181899</v>
      </c>
    </row>
    <row r="268" spans="1:8" x14ac:dyDescent="0.25">
      <c r="A268" s="7">
        <v>6</v>
      </c>
      <c r="B268" s="7">
        <v>17</v>
      </c>
      <c r="C268" s="7">
        <v>834.61</v>
      </c>
      <c r="D268" s="7" t="s">
        <v>27</v>
      </c>
      <c r="E268" s="7">
        <v>27.709589041095899</v>
      </c>
      <c r="F268" s="7">
        <v>10114</v>
      </c>
      <c r="G268" s="7">
        <v>7.1535944142422698</v>
      </c>
      <c r="H268" s="7">
        <v>5.3848701539612103</v>
      </c>
    </row>
    <row r="269" spans="1:8" x14ac:dyDescent="0.25">
      <c r="A269" s="7">
        <v>6</v>
      </c>
      <c r="B269" s="7">
        <v>18</v>
      </c>
      <c r="C269" s="7">
        <v>51.52</v>
      </c>
      <c r="D269" s="7" t="s">
        <v>29</v>
      </c>
      <c r="E269" s="7">
        <v>71.561643835616394</v>
      </c>
      <c r="F269" s="7">
        <v>26120</v>
      </c>
      <c r="G269" s="7">
        <v>14.9730287857093</v>
      </c>
      <c r="H269" s="7">
        <v>9.4957650014122308</v>
      </c>
    </row>
    <row r="270" spans="1:8" x14ac:dyDescent="0.25">
      <c r="A270" s="7">
        <v>6</v>
      </c>
      <c r="B270" s="7">
        <v>19</v>
      </c>
      <c r="C270" s="7">
        <v>547.29999999999995</v>
      </c>
      <c r="D270" s="7" t="s">
        <v>27</v>
      </c>
      <c r="E270" s="7">
        <v>33.786301369862997</v>
      </c>
      <c r="F270" s="7">
        <v>12332</v>
      </c>
      <c r="G270" s="7">
        <v>8.5950462960558003</v>
      </c>
      <c r="H270" s="7">
        <v>6.1038614695948104</v>
      </c>
    </row>
    <row r="271" spans="1:8" x14ac:dyDescent="0.25">
      <c r="A271" s="7">
        <v>6</v>
      </c>
      <c r="B271" s="7">
        <v>20</v>
      </c>
      <c r="C271" s="7">
        <v>424.89</v>
      </c>
      <c r="D271" s="7" t="s">
        <v>28</v>
      </c>
      <c r="E271" s="7">
        <v>39.9945205479452</v>
      </c>
      <c r="F271" s="7">
        <v>14598</v>
      </c>
      <c r="G271" s="7">
        <v>8.9114130400180702</v>
      </c>
      <c r="H271" s="7">
        <v>6.2108198411215803</v>
      </c>
    </row>
    <row r="272" spans="1:8" x14ac:dyDescent="0.25">
      <c r="A272" s="7">
        <v>6</v>
      </c>
      <c r="B272" s="7">
        <v>21</v>
      </c>
      <c r="C272" s="7">
        <v>647.92999999999995</v>
      </c>
      <c r="D272" s="7" t="s">
        <v>27</v>
      </c>
      <c r="E272" s="7">
        <v>34.219178082191803</v>
      </c>
      <c r="F272" s="7">
        <v>12490</v>
      </c>
      <c r="G272" s="7">
        <v>8.5683990903675102</v>
      </c>
      <c r="H272" s="7">
        <v>6.0236374130323798</v>
      </c>
    </row>
    <row r="273" spans="1:8" x14ac:dyDescent="0.25">
      <c r="A273" s="7">
        <v>6</v>
      </c>
      <c r="B273" s="7">
        <v>22</v>
      </c>
      <c r="C273" s="7">
        <v>72.209999999999994</v>
      </c>
      <c r="D273" s="7" t="s">
        <v>29</v>
      </c>
      <c r="E273" s="7">
        <v>67.769863013698597</v>
      </c>
      <c r="F273" s="7">
        <v>24736</v>
      </c>
      <c r="G273" s="7">
        <v>14.0381153050786</v>
      </c>
      <c r="H273" s="7">
        <v>9.0695270908232892</v>
      </c>
    </row>
    <row r="274" spans="1:8" x14ac:dyDescent="0.25">
      <c r="A274" s="7">
        <v>6</v>
      </c>
      <c r="B274" s="7">
        <v>23</v>
      </c>
      <c r="C274" s="7">
        <v>1075.06</v>
      </c>
      <c r="D274" s="7" t="s">
        <v>27</v>
      </c>
      <c r="E274" s="7">
        <v>24.816438356164401</v>
      </c>
      <c r="F274" s="7">
        <v>9058</v>
      </c>
      <c r="G274" s="7">
        <v>7.7444476357575702</v>
      </c>
      <c r="H274" s="7">
        <v>5.43900258014959</v>
      </c>
    </row>
    <row r="275" spans="1:8" x14ac:dyDescent="0.25">
      <c r="A275" s="7">
        <v>6</v>
      </c>
      <c r="B275" s="7">
        <v>24</v>
      </c>
      <c r="C275" s="7">
        <v>141.85</v>
      </c>
      <c r="D275" s="7" t="s">
        <v>29</v>
      </c>
      <c r="E275" s="7">
        <v>56.621917808219202</v>
      </c>
      <c r="F275" s="7">
        <v>20667</v>
      </c>
      <c r="G275" s="7">
        <v>12.2873454455559</v>
      </c>
      <c r="H275" s="7">
        <v>7.8571148397594701</v>
      </c>
    </row>
    <row r="276" spans="1:8" x14ac:dyDescent="0.25">
      <c r="A276" s="7">
        <v>6</v>
      </c>
      <c r="B276" s="7">
        <v>25</v>
      </c>
      <c r="C276" s="7">
        <v>56.06</v>
      </c>
      <c r="D276" s="7" t="s">
        <v>29</v>
      </c>
      <c r="E276" s="7">
        <v>68.449315068493206</v>
      </c>
      <c r="F276" s="7">
        <v>24984</v>
      </c>
      <c r="G276" s="7">
        <v>12.1622059947357</v>
      </c>
      <c r="H276" s="7">
        <v>8.7920007832999207</v>
      </c>
    </row>
    <row r="277" spans="1:8" x14ac:dyDescent="0.25">
      <c r="A277" s="7">
        <v>6</v>
      </c>
      <c r="B277" s="7">
        <v>26</v>
      </c>
      <c r="C277" s="7">
        <v>390.5</v>
      </c>
      <c r="D277" s="7" t="s">
        <v>28</v>
      </c>
      <c r="E277" s="7">
        <v>40.287671232876697</v>
      </c>
      <c r="F277" s="7">
        <v>14705</v>
      </c>
      <c r="G277" s="7">
        <v>11.107239066262499</v>
      </c>
      <c r="H277" s="7">
        <v>6.9704068908949903</v>
      </c>
    </row>
    <row r="278" spans="1:8" x14ac:dyDescent="0.25">
      <c r="A278" s="7">
        <v>6</v>
      </c>
      <c r="B278" s="7">
        <v>27</v>
      </c>
      <c r="C278" s="7">
        <v>1639.41</v>
      </c>
      <c r="D278" s="7" t="s">
        <v>27</v>
      </c>
      <c r="E278" s="7">
        <v>18.827397260274001</v>
      </c>
      <c r="F278" s="7">
        <v>6872</v>
      </c>
      <c r="G278" s="7">
        <v>5.6144968831442199</v>
      </c>
      <c r="H278" s="7">
        <v>4.0752535254986002</v>
      </c>
    </row>
    <row r="279" spans="1:8" x14ac:dyDescent="0.25">
      <c r="A279" s="7">
        <v>6</v>
      </c>
      <c r="B279" s="7">
        <v>28</v>
      </c>
      <c r="C279" s="7">
        <v>43.52</v>
      </c>
      <c r="D279" s="7" t="s">
        <v>29</v>
      </c>
      <c r="E279" s="7">
        <v>74.257534246575403</v>
      </c>
      <c r="F279" s="7">
        <v>27104</v>
      </c>
      <c r="G279" s="7">
        <v>14.792270808798801</v>
      </c>
      <c r="H279" s="7">
        <v>9.1661695949141393</v>
      </c>
    </row>
    <row r="280" spans="1:8" x14ac:dyDescent="0.25">
      <c r="A280" s="7">
        <v>6</v>
      </c>
      <c r="B280" s="7">
        <v>29</v>
      </c>
      <c r="C280" s="7">
        <v>119.82</v>
      </c>
      <c r="D280" s="7" t="s">
        <v>29</v>
      </c>
      <c r="E280" s="7">
        <v>59.260273972602697</v>
      </c>
      <c r="F280" s="7">
        <v>21630</v>
      </c>
      <c r="G280" s="7">
        <v>11.5883774583235</v>
      </c>
      <c r="H280" s="7">
        <v>7.6971969803671003</v>
      </c>
    </row>
    <row r="281" spans="1:8" x14ac:dyDescent="0.25">
      <c r="A281" s="7">
        <v>6</v>
      </c>
      <c r="B281" s="7">
        <v>30</v>
      </c>
      <c r="C281" s="7">
        <v>595.5</v>
      </c>
      <c r="D281" s="7" t="s">
        <v>27</v>
      </c>
      <c r="E281" s="7">
        <v>33.621917808219202</v>
      </c>
      <c r="F281" s="7">
        <v>12272</v>
      </c>
      <c r="G281" s="7">
        <v>7.4774066446195997</v>
      </c>
      <c r="H281" s="7">
        <v>5.2570471996270802</v>
      </c>
    </row>
    <row r="282" spans="1:8" x14ac:dyDescent="0.25">
      <c r="A282" s="7">
        <v>6</v>
      </c>
      <c r="B282" s="7">
        <v>31</v>
      </c>
      <c r="C282" s="7">
        <v>198.8</v>
      </c>
      <c r="D282" s="7" t="s">
        <v>28</v>
      </c>
      <c r="E282" s="7">
        <v>50.430136986301399</v>
      </c>
      <c r="F282" s="7">
        <v>18407</v>
      </c>
      <c r="G282" s="7">
        <v>9.5738635292265499</v>
      </c>
      <c r="H282" s="7">
        <v>6.8533389201583104</v>
      </c>
    </row>
    <row r="283" spans="1:8" x14ac:dyDescent="0.25">
      <c r="A283" s="7">
        <v>6</v>
      </c>
      <c r="B283" s="7">
        <v>32</v>
      </c>
      <c r="C283" s="7">
        <v>462.3</v>
      </c>
      <c r="D283" s="7" t="s">
        <v>28</v>
      </c>
      <c r="E283" s="7">
        <v>37.413698630136999</v>
      </c>
      <c r="F283" s="7">
        <v>13656</v>
      </c>
      <c r="G283" s="7">
        <v>10.1552450208426</v>
      </c>
      <c r="H283" s="7">
        <v>6.9262110058778799</v>
      </c>
    </row>
    <row r="284" spans="1:8" x14ac:dyDescent="0.25">
      <c r="A284" s="7">
        <v>6</v>
      </c>
      <c r="B284" s="7">
        <v>33</v>
      </c>
      <c r="C284" s="7">
        <v>130.37</v>
      </c>
      <c r="D284" s="7" t="s">
        <v>29</v>
      </c>
      <c r="E284" s="7">
        <v>58.950684931506899</v>
      </c>
      <c r="F284" s="7">
        <v>21517</v>
      </c>
      <c r="G284" s="7">
        <v>11.930079783100799</v>
      </c>
      <c r="H284" s="7">
        <v>7.6880535754892199</v>
      </c>
    </row>
    <row r="285" spans="1:8" x14ac:dyDescent="0.25">
      <c r="A285" s="7">
        <v>6</v>
      </c>
      <c r="B285" s="7">
        <v>34</v>
      </c>
      <c r="C285" s="7">
        <v>1384.8</v>
      </c>
      <c r="D285" s="7" t="s">
        <v>27</v>
      </c>
      <c r="E285" s="7">
        <v>21.772602739726</v>
      </c>
      <c r="F285" s="7">
        <v>7947</v>
      </c>
      <c r="G285" s="7">
        <v>5.99803877804995</v>
      </c>
      <c r="H285" s="7">
        <v>4.1938686402512104</v>
      </c>
    </row>
    <row r="286" spans="1:8" x14ac:dyDescent="0.25">
      <c r="A286" s="7">
        <v>6</v>
      </c>
      <c r="B286" s="7">
        <v>35</v>
      </c>
      <c r="C286" s="7">
        <v>167.93</v>
      </c>
      <c r="D286" s="7" t="s">
        <v>28</v>
      </c>
      <c r="E286" s="7">
        <v>55.627397260274002</v>
      </c>
      <c r="F286" s="7">
        <v>20304</v>
      </c>
      <c r="G286" s="7">
        <v>11.150300110157801</v>
      </c>
      <c r="H286" s="7">
        <v>6.78824887140577</v>
      </c>
    </row>
    <row r="287" spans="1:8" x14ac:dyDescent="0.25">
      <c r="A287" s="7">
        <v>6</v>
      </c>
      <c r="B287" s="7">
        <v>36</v>
      </c>
      <c r="C287" s="7">
        <v>78.569999999999993</v>
      </c>
      <c r="D287" s="7" t="s">
        <v>29</v>
      </c>
      <c r="E287" s="7">
        <v>65.041095890411</v>
      </c>
      <c r="F287" s="7">
        <v>23740</v>
      </c>
      <c r="G287" s="7">
        <v>12.016924480116399</v>
      </c>
      <c r="H287" s="7">
        <v>7.7885345690755399</v>
      </c>
    </row>
    <row r="288" spans="1:8" x14ac:dyDescent="0.25">
      <c r="A288" s="7">
        <v>6</v>
      </c>
      <c r="B288" s="7">
        <v>37</v>
      </c>
      <c r="C288" s="7">
        <v>1169.73</v>
      </c>
      <c r="D288" s="7" t="s">
        <v>27</v>
      </c>
      <c r="E288" s="7">
        <v>24.7424657534247</v>
      </c>
      <c r="F288" s="7">
        <v>9031</v>
      </c>
      <c r="G288" s="7">
        <v>6.0244267073650102</v>
      </c>
      <c r="H288" s="7">
        <v>4.1355299163278101</v>
      </c>
    </row>
    <row r="289" spans="1:8" x14ac:dyDescent="0.25">
      <c r="A289" s="7">
        <v>6</v>
      </c>
      <c r="B289" s="7">
        <v>38</v>
      </c>
      <c r="C289" s="7">
        <v>66.37</v>
      </c>
      <c r="D289" s="7" t="s">
        <v>29</v>
      </c>
      <c r="E289" s="7">
        <v>68.364383561643805</v>
      </c>
      <c r="F289" s="7">
        <v>24953</v>
      </c>
      <c r="G289" s="7">
        <v>13.4876693346281</v>
      </c>
      <c r="H289" s="7">
        <v>9.4839791056630496</v>
      </c>
    </row>
    <row r="290" spans="1:8" x14ac:dyDescent="0.25">
      <c r="A290" s="7">
        <v>6</v>
      </c>
      <c r="B290" s="7">
        <v>39</v>
      </c>
      <c r="C290" s="7">
        <v>503.01</v>
      </c>
      <c r="D290" s="7" t="s">
        <v>27</v>
      </c>
      <c r="E290" s="7">
        <v>36.794520547945197</v>
      </c>
      <c r="F290" s="7">
        <v>13430</v>
      </c>
      <c r="G290" s="7">
        <v>8.1099335666702608</v>
      </c>
      <c r="H290" s="7">
        <v>4.8407093010532298</v>
      </c>
    </row>
    <row r="291" spans="1:8" x14ac:dyDescent="0.25">
      <c r="A291" s="7">
        <v>6</v>
      </c>
      <c r="B291" s="7">
        <v>40</v>
      </c>
      <c r="C291" s="7">
        <v>1272.73</v>
      </c>
      <c r="D291" s="7" t="s">
        <v>27</v>
      </c>
      <c r="E291" s="7">
        <v>24.843835616438401</v>
      </c>
      <c r="F291" s="7">
        <v>9068</v>
      </c>
      <c r="G291" s="7">
        <v>7.9289953959207997</v>
      </c>
      <c r="H291" s="7">
        <v>5.2057721271437396</v>
      </c>
    </row>
    <row r="292" spans="1:8" x14ac:dyDescent="0.25">
      <c r="A292" s="7">
        <v>6</v>
      </c>
      <c r="B292" s="7">
        <v>41</v>
      </c>
      <c r="C292" s="7">
        <v>2111.73</v>
      </c>
      <c r="D292" s="7" t="s">
        <v>27</v>
      </c>
      <c r="E292" s="7">
        <v>18.293150684931501</v>
      </c>
      <c r="F292" s="7">
        <v>6677</v>
      </c>
      <c r="G292" s="7">
        <v>5.4586137805453898</v>
      </c>
      <c r="H292" s="7">
        <v>3.8283998268350699</v>
      </c>
    </row>
    <row r="293" spans="1:8" x14ac:dyDescent="0.25">
      <c r="A293" s="7">
        <v>6</v>
      </c>
      <c r="B293" s="7">
        <v>42</v>
      </c>
      <c r="C293" s="7">
        <v>704.99</v>
      </c>
      <c r="D293" s="7" t="s">
        <v>27</v>
      </c>
      <c r="E293" s="7">
        <v>30.879452054794498</v>
      </c>
      <c r="F293" s="7">
        <v>11271</v>
      </c>
      <c r="G293" s="7">
        <v>9.0111678865398801</v>
      </c>
      <c r="H293" s="7">
        <v>6.0975295639457796</v>
      </c>
    </row>
    <row r="294" spans="1:8" x14ac:dyDescent="0.25">
      <c r="A294" s="7">
        <v>6</v>
      </c>
      <c r="B294" s="7">
        <v>43</v>
      </c>
      <c r="C294" s="7">
        <v>358.9</v>
      </c>
      <c r="D294" s="7" t="s">
        <v>28</v>
      </c>
      <c r="E294" s="7">
        <v>43.610958904109602</v>
      </c>
      <c r="F294" s="7">
        <v>15918</v>
      </c>
      <c r="G294" s="7">
        <v>10.0656231891689</v>
      </c>
      <c r="H294" s="7">
        <v>7.0211822631084901</v>
      </c>
    </row>
    <row r="295" spans="1:8" x14ac:dyDescent="0.25">
      <c r="A295" s="7">
        <v>6</v>
      </c>
      <c r="B295" s="7">
        <v>44</v>
      </c>
      <c r="C295" s="7">
        <v>908.1</v>
      </c>
      <c r="D295" s="7" t="s">
        <v>27</v>
      </c>
      <c r="E295" s="7">
        <v>24.701369863013699</v>
      </c>
      <c r="F295" s="7">
        <v>9016</v>
      </c>
      <c r="G295" s="7">
        <v>7.4528619000805501</v>
      </c>
      <c r="H295" s="7">
        <v>5.0555555685184599</v>
      </c>
    </row>
    <row r="296" spans="1:8" x14ac:dyDescent="0.25">
      <c r="A296" s="7">
        <v>6</v>
      </c>
      <c r="B296" s="7">
        <v>45</v>
      </c>
      <c r="C296" s="7">
        <v>61</v>
      </c>
      <c r="D296" s="7" t="s">
        <v>29</v>
      </c>
      <c r="E296" s="7">
        <v>68.813698630136997</v>
      </c>
      <c r="F296" s="7">
        <v>25117</v>
      </c>
      <c r="G296" s="7">
        <v>13.4983630512926</v>
      </c>
      <c r="H296" s="7">
        <v>9.1993589789506895</v>
      </c>
    </row>
    <row r="297" spans="1:8" x14ac:dyDescent="0.25">
      <c r="A297" s="7">
        <v>6</v>
      </c>
      <c r="B297" s="7">
        <v>46</v>
      </c>
      <c r="C297" s="7">
        <v>216.31</v>
      </c>
      <c r="D297" s="7" t="s">
        <v>28</v>
      </c>
      <c r="E297" s="7">
        <v>49.194520547945203</v>
      </c>
      <c r="F297" s="7">
        <v>17956</v>
      </c>
      <c r="G297" s="7">
        <v>10.503247285273</v>
      </c>
      <c r="H297" s="7">
        <v>7.0136705450765398</v>
      </c>
    </row>
    <row r="298" spans="1:8" x14ac:dyDescent="0.25">
      <c r="A298" s="7">
        <v>6</v>
      </c>
      <c r="B298" s="7">
        <v>47</v>
      </c>
      <c r="C298" s="7">
        <v>1940.83</v>
      </c>
      <c r="D298" s="7" t="s">
        <v>27</v>
      </c>
      <c r="E298" s="7">
        <v>18.873972602739698</v>
      </c>
      <c r="F298" s="7">
        <v>6889</v>
      </c>
      <c r="G298" s="7">
        <v>5.5522536240504303</v>
      </c>
      <c r="H298" s="7">
        <v>3.9090013558472898</v>
      </c>
    </row>
    <row r="299" spans="1:8" x14ac:dyDescent="0.25">
      <c r="A299" s="7">
        <v>6</v>
      </c>
      <c r="B299" s="7">
        <v>48</v>
      </c>
      <c r="C299" s="7">
        <v>329.86</v>
      </c>
      <c r="D299" s="7" t="s">
        <v>28</v>
      </c>
      <c r="E299" s="7">
        <v>43.726027397260303</v>
      </c>
      <c r="F299" s="7">
        <v>15960</v>
      </c>
      <c r="G299" s="7">
        <v>10.009694297685099</v>
      </c>
      <c r="H299" s="7">
        <v>6.4133962702647498</v>
      </c>
    </row>
    <row r="300" spans="1:8" x14ac:dyDescent="0.25">
      <c r="A300" s="7">
        <v>6</v>
      </c>
      <c r="B300" s="7">
        <v>49</v>
      </c>
      <c r="C300" s="7">
        <v>988.06</v>
      </c>
      <c r="D300" s="7" t="s">
        <v>27</v>
      </c>
      <c r="E300" s="7">
        <v>24.5424657534247</v>
      </c>
      <c r="F300" s="7">
        <v>8958</v>
      </c>
      <c r="G300" s="7">
        <v>7.2575561559593798</v>
      </c>
      <c r="H300" s="7">
        <v>5.0918637059148804</v>
      </c>
    </row>
    <row r="301" spans="1:8" x14ac:dyDescent="0.25">
      <c r="A301" s="7">
        <v>6</v>
      </c>
      <c r="B301" s="7">
        <v>50</v>
      </c>
      <c r="C301" s="7">
        <v>154.34</v>
      </c>
      <c r="D301" s="7" t="s">
        <v>29</v>
      </c>
      <c r="E301" s="7">
        <v>56.5205479452055</v>
      </c>
      <c r="F301" s="7">
        <v>20630</v>
      </c>
      <c r="G301" s="7">
        <v>12.165382693225199</v>
      </c>
      <c r="H301" s="7">
        <v>7.0425467554945502</v>
      </c>
    </row>
    <row r="302" spans="1:8" x14ac:dyDescent="0.25">
      <c r="A302" s="7">
        <v>7</v>
      </c>
      <c r="B302" s="7">
        <v>1</v>
      </c>
      <c r="C302" s="7">
        <v>2297.6799999999998</v>
      </c>
      <c r="D302" s="7" t="s">
        <v>27</v>
      </c>
      <c r="E302" s="7">
        <v>17.027397260274</v>
      </c>
      <c r="F302" s="7">
        <v>6215</v>
      </c>
      <c r="G302" s="7">
        <v>6.3128635008612699</v>
      </c>
      <c r="H302" s="7">
        <v>4.1324182213845999</v>
      </c>
    </row>
    <row r="303" spans="1:8" x14ac:dyDescent="0.25">
      <c r="A303" s="7">
        <v>7</v>
      </c>
      <c r="B303" s="7">
        <v>2</v>
      </c>
      <c r="C303" s="7">
        <v>235.35</v>
      </c>
      <c r="D303" s="7" t="s">
        <v>28</v>
      </c>
      <c r="E303" s="7">
        <v>45.4876712328767</v>
      </c>
      <c r="F303" s="7">
        <v>16603</v>
      </c>
      <c r="G303" s="7">
        <v>9.8365220858948508</v>
      </c>
      <c r="H303" s="7">
        <v>6.8883678982476502</v>
      </c>
    </row>
    <row r="304" spans="1:8" x14ac:dyDescent="0.25">
      <c r="A304" s="7">
        <v>7</v>
      </c>
      <c r="B304" s="7">
        <v>3</v>
      </c>
      <c r="C304" s="7">
        <v>767.06</v>
      </c>
      <c r="D304" s="7" t="s">
        <v>27</v>
      </c>
      <c r="E304" s="7">
        <v>28.5013698630137</v>
      </c>
      <c r="F304" s="7">
        <v>10403</v>
      </c>
      <c r="G304" s="7">
        <v>8.0984446962271708</v>
      </c>
      <c r="H304" s="7">
        <v>5.9715901776109801</v>
      </c>
    </row>
    <row r="305" spans="1:8" x14ac:dyDescent="0.25">
      <c r="A305" s="7">
        <v>7</v>
      </c>
      <c r="B305" s="7">
        <v>4</v>
      </c>
      <c r="C305" s="7">
        <v>1783.76</v>
      </c>
      <c r="D305" s="7" t="s">
        <v>27</v>
      </c>
      <c r="E305" s="7">
        <v>16.778082191780801</v>
      </c>
      <c r="F305" s="7">
        <v>6124</v>
      </c>
      <c r="G305" s="7">
        <v>5.89000749121222</v>
      </c>
      <c r="H305" s="7">
        <v>4.1577277816253</v>
      </c>
    </row>
    <row r="306" spans="1:8" x14ac:dyDescent="0.25">
      <c r="A306" s="7">
        <v>7</v>
      </c>
      <c r="B306" s="7">
        <v>5</v>
      </c>
      <c r="C306" s="7">
        <v>2500</v>
      </c>
      <c r="D306" s="7" t="s">
        <v>27</v>
      </c>
      <c r="E306" s="7">
        <v>14.2630136986301</v>
      </c>
      <c r="F306" s="7">
        <v>5206</v>
      </c>
      <c r="G306" s="7">
        <v>5.21712055357367</v>
      </c>
      <c r="H306" s="7">
        <v>4.1141766208774602</v>
      </c>
    </row>
    <row r="307" spans="1:8" x14ac:dyDescent="0.25">
      <c r="A307" s="7">
        <v>7</v>
      </c>
      <c r="B307" s="7">
        <v>6</v>
      </c>
      <c r="C307" s="7">
        <v>278.63</v>
      </c>
      <c r="D307" s="7" t="s">
        <v>28</v>
      </c>
      <c r="E307" s="7">
        <v>45.742465753424703</v>
      </c>
      <c r="F307" s="7">
        <v>16696</v>
      </c>
      <c r="G307" s="7">
        <v>9.2084930884150893</v>
      </c>
      <c r="H307" s="7">
        <v>6.2701981061009597</v>
      </c>
    </row>
    <row r="308" spans="1:8" x14ac:dyDescent="0.25">
      <c r="A308" s="7">
        <v>7</v>
      </c>
      <c r="B308" s="7">
        <v>7</v>
      </c>
      <c r="C308" s="7">
        <v>256.08</v>
      </c>
      <c r="D308" s="7" t="s">
        <v>28</v>
      </c>
      <c r="E308" s="7">
        <v>45.613698630137002</v>
      </c>
      <c r="F308" s="7">
        <v>16649</v>
      </c>
      <c r="G308" s="7">
        <v>9.6124371975690899</v>
      </c>
      <c r="H308" s="7">
        <v>5.9391110290404896</v>
      </c>
    </row>
    <row r="309" spans="1:8" x14ac:dyDescent="0.25">
      <c r="A309" s="7">
        <v>7</v>
      </c>
      <c r="B309" s="7">
        <v>8</v>
      </c>
      <c r="C309" s="7">
        <v>85.49</v>
      </c>
      <c r="D309" s="7" t="s">
        <v>29</v>
      </c>
      <c r="E309" s="7">
        <v>60.268493150684897</v>
      </c>
      <c r="F309" s="7">
        <v>21998</v>
      </c>
      <c r="G309" s="7">
        <v>12.3385899792312</v>
      </c>
      <c r="H309" s="7">
        <v>7.9024258470310604</v>
      </c>
    </row>
    <row r="310" spans="1:8" x14ac:dyDescent="0.25">
      <c r="A310" s="7">
        <v>7</v>
      </c>
      <c r="B310" s="7">
        <v>9</v>
      </c>
      <c r="C310" s="7">
        <v>303.16000000000003</v>
      </c>
      <c r="D310" s="7" t="s">
        <v>28</v>
      </c>
      <c r="E310" s="7">
        <v>40.213698630137003</v>
      </c>
      <c r="F310" s="7">
        <v>14678</v>
      </c>
      <c r="G310" s="7">
        <v>9.3655395011773201</v>
      </c>
      <c r="H310" s="7">
        <v>6.0307597795700598</v>
      </c>
    </row>
    <row r="311" spans="1:8" x14ac:dyDescent="0.25">
      <c r="A311" s="7">
        <v>7</v>
      </c>
      <c r="B311" s="7">
        <v>10</v>
      </c>
      <c r="C311" s="7">
        <v>93.02</v>
      </c>
      <c r="D311" s="7" t="s">
        <v>29</v>
      </c>
      <c r="E311" s="7">
        <v>57.435616438356199</v>
      </c>
      <c r="F311" s="7">
        <v>20964</v>
      </c>
      <c r="G311" s="7">
        <v>11.4618699388026</v>
      </c>
      <c r="H311" s="7">
        <v>7.4790771714818201</v>
      </c>
    </row>
    <row r="312" spans="1:8" x14ac:dyDescent="0.25">
      <c r="A312" s="7">
        <v>7</v>
      </c>
      <c r="B312" s="7">
        <v>11</v>
      </c>
      <c r="C312" s="7">
        <v>101.21</v>
      </c>
      <c r="D312" s="7" t="s">
        <v>29</v>
      </c>
      <c r="E312" s="7">
        <v>53.882191780821898</v>
      </c>
      <c r="F312" s="7">
        <v>19667</v>
      </c>
      <c r="G312" s="7">
        <v>12.1750795035328</v>
      </c>
      <c r="H312" s="7">
        <v>7.7165213010556704</v>
      </c>
    </row>
    <row r="313" spans="1:8" x14ac:dyDescent="0.25">
      <c r="A313" s="7">
        <v>7</v>
      </c>
      <c r="B313" s="7">
        <v>12</v>
      </c>
      <c r="C313" s="7">
        <v>110.12</v>
      </c>
      <c r="D313" s="7" t="s">
        <v>29</v>
      </c>
      <c r="E313" s="7">
        <v>53.843835616438398</v>
      </c>
      <c r="F313" s="7">
        <v>19653</v>
      </c>
      <c r="G313" s="7">
        <v>10.1781726395253</v>
      </c>
      <c r="H313" s="7">
        <v>6.7692846585264101</v>
      </c>
    </row>
    <row r="314" spans="1:8" x14ac:dyDescent="0.25">
      <c r="A314" s="7">
        <v>7</v>
      </c>
      <c r="B314" s="7">
        <v>13</v>
      </c>
      <c r="C314" s="7">
        <v>47.35</v>
      </c>
      <c r="D314" s="7" t="s">
        <v>29</v>
      </c>
      <c r="E314" s="7">
        <v>66.057534246575301</v>
      </c>
      <c r="F314" s="7">
        <v>24111</v>
      </c>
      <c r="G314" s="7">
        <v>12.240639431942199</v>
      </c>
      <c r="H314" s="7">
        <v>8.0700540739178308</v>
      </c>
    </row>
    <row r="315" spans="1:8" x14ac:dyDescent="0.25">
      <c r="A315" s="7">
        <v>7</v>
      </c>
      <c r="B315" s="7">
        <v>14</v>
      </c>
      <c r="C315" s="7">
        <v>182.71</v>
      </c>
      <c r="D315" s="7" t="s">
        <v>28</v>
      </c>
      <c r="E315" s="7">
        <v>45.386301369862998</v>
      </c>
      <c r="F315" s="7">
        <v>16566</v>
      </c>
      <c r="G315" s="7">
        <v>10.1341220638385</v>
      </c>
      <c r="H315" s="7">
        <v>6.48290363487303</v>
      </c>
    </row>
    <row r="316" spans="1:8" x14ac:dyDescent="0.25">
      <c r="A316" s="7">
        <v>7</v>
      </c>
      <c r="B316" s="7">
        <v>15</v>
      </c>
      <c r="C316" s="7">
        <v>40</v>
      </c>
      <c r="D316" s="7" t="s">
        <v>29</v>
      </c>
      <c r="E316" s="7">
        <v>68.506849315068493</v>
      </c>
      <c r="F316" s="7">
        <v>25005</v>
      </c>
      <c r="G316" s="7">
        <v>10.933206190824601</v>
      </c>
      <c r="H316" s="7">
        <v>8.0931180772450606</v>
      </c>
    </row>
    <row r="317" spans="1:8" x14ac:dyDescent="0.25">
      <c r="A317" s="7">
        <v>7</v>
      </c>
      <c r="B317" s="7">
        <v>16</v>
      </c>
      <c r="C317" s="7">
        <v>1506.73</v>
      </c>
      <c r="D317" s="7" t="s">
        <v>27</v>
      </c>
      <c r="E317" s="7">
        <v>19.660273972602699</v>
      </c>
      <c r="F317" s="7">
        <v>7176</v>
      </c>
      <c r="G317" s="7">
        <v>6.2930789609987103</v>
      </c>
      <c r="H317" s="7">
        <v>4.4444462477987097</v>
      </c>
    </row>
    <row r="318" spans="1:8" x14ac:dyDescent="0.25">
      <c r="A318" s="7">
        <v>7</v>
      </c>
      <c r="B318" s="7">
        <v>17</v>
      </c>
      <c r="C318" s="7">
        <v>834.61</v>
      </c>
      <c r="D318" s="7" t="s">
        <v>27</v>
      </c>
      <c r="E318" s="7">
        <v>25.4931506849315</v>
      </c>
      <c r="F318" s="7">
        <v>9305</v>
      </c>
      <c r="G318" s="7">
        <v>8.1748977764275796</v>
      </c>
      <c r="H318" s="7">
        <v>5.5412735705359202</v>
      </c>
    </row>
    <row r="319" spans="1:8" x14ac:dyDescent="0.25">
      <c r="A319" s="7">
        <v>7</v>
      </c>
      <c r="B319" s="7">
        <v>18</v>
      </c>
      <c r="C319" s="7">
        <v>51.52</v>
      </c>
      <c r="D319" s="7" t="s">
        <v>29</v>
      </c>
      <c r="E319" s="7">
        <v>64.939726027397299</v>
      </c>
      <c r="F319" s="7">
        <v>23703</v>
      </c>
      <c r="G319" s="7">
        <v>12.7050548419904</v>
      </c>
      <c r="H319" s="7">
        <v>7.6976641724877304</v>
      </c>
    </row>
    <row r="320" spans="1:8" x14ac:dyDescent="0.25">
      <c r="A320" s="7">
        <v>7</v>
      </c>
      <c r="B320" s="7">
        <v>19</v>
      </c>
      <c r="C320" s="7">
        <v>547.29999999999995</v>
      </c>
      <c r="D320" s="7" t="s">
        <v>27</v>
      </c>
      <c r="E320" s="7">
        <v>31.575342465753401</v>
      </c>
      <c r="F320" s="7">
        <v>11525</v>
      </c>
      <c r="G320" s="7">
        <v>9.2217725706849407</v>
      </c>
      <c r="H320" s="7">
        <v>5.8928275626819202</v>
      </c>
    </row>
    <row r="321" spans="1:8" x14ac:dyDescent="0.25">
      <c r="A321" s="7">
        <v>7</v>
      </c>
      <c r="B321" s="7">
        <v>20</v>
      </c>
      <c r="C321" s="7">
        <v>424.89</v>
      </c>
      <c r="D321" s="7" t="s">
        <v>28</v>
      </c>
      <c r="E321" s="7">
        <v>37.106849315068501</v>
      </c>
      <c r="F321" s="7">
        <v>13544</v>
      </c>
      <c r="G321" s="7">
        <v>9.3825821385797301</v>
      </c>
      <c r="H321" s="7">
        <v>6.5619928788813997</v>
      </c>
    </row>
    <row r="322" spans="1:8" x14ac:dyDescent="0.25">
      <c r="A322" s="7">
        <v>7</v>
      </c>
      <c r="B322" s="7">
        <v>21</v>
      </c>
      <c r="C322" s="7">
        <v>647.92999999999995</v>
      </c>
      <c r="D322" s="7" t="s">
        <v>27</v>
      </c>
      <c r="E322" s="7">
        <v>31.424657534246599</v>
      </c>
      <c r="F322" s="7">
        <v>11470</v>
      </c>
      <c r="G322" s="7">
        <v>8.0028288715580995</v>
      </c>
      <c r="H322" s="7">
        <v>5.3994269355908502</v>
      </c>
    </row>
    <row r="323" spans="1:8" x14ac:dyDescent="0.25">
      <c r="A323" s="7">
        <v>7</v>
      </c>
      <c r="B323" s="7">
        <v>22</v>
      </c>
      <c r="C323" s="7">
        <v>72.209999999999994</v>
      </c>
      <c r="D323" s="7" t="s">
        <v>29</v>
      </c>
      <c r="E323" s="7">
        <v>62.405479452054799</v>
      </c>
      <c r="F323" s="7">
        <v>22778</v>
      </c>
      <c r="G323" s="7">
        <v>14.7487477907491</v>
      </c>
      <c r="H323" s="7">
        <v>10.037640022364499</v>
      </c>
    </row>
    <row r="324" spans="1:8" x14ac:dyDescent="0.25">
      <c r="A324" s="7">
        <v>7</v>
      </c>
      <c r="B324" s="7">
        <v>23</v>
      </c>
      <c r="C324" s="7">
        <v>1075.06</v>
      </c>
      <c r="D324" s="7" t="s">
        <v>27</v>
      </c>
      <c r="E324" s="7">
        <v>22.819178082191801</v>
      </c>
      <c r="F324" s="7">
        <v>8329</v>
      </c>
      <c r="G324" s="7">
        <v>7.2983891042122098</v>
      </c>
      <c r="H324" s="7">
        <v>4.7721610325245498</v>
      </c>
    </row>
    <row r="325" spans="1:8" x14ac:dyDescent="0.25">
      <c r="A325" s="7">
        <v>7</v>
      </c>
      <c r="B325" s="7">
        <v>24</v>
      </c>
      <c r="C325" s="7">
        <v>141.85</v>
      </c>
      <c r="D325" s="7" t="s">
        <v>29</v>
      </c>
      <c r="E325" s="7">
        <v>50.695890410958903</v>
      </c>
      <c r="F325" s="7">
        <v>18504</v>
      </c>
      <c r="G325" s="7">
        <v>12.2126210436912</v>
      </c>
      <c r="H325" s="7">
        <v>7.5446409298192503</v>
      </c>
    </row>
    <row r="326" spans="1:8" x14ac:dyDescent="0.25">
      <c r="A326" s="7">
        <v>7</v>
      </c>
      <c r="B326" s="7">
        <v>25</v>
      </c>
      <c r="C326" s="7">
        <v>56.06</v>
      </c>
      <c r="D326" s="7" t="s">
        <v>29</v>
      </c>
      <c r="E326" s="7">
        <v>63.320547945205497</v>
      </c>
      <c r="F326" s="7">
        <v>23112</v>
      </c>
      <c r="G326" s="7">
        <v>13.0477594900971</v>
      </c>
      <c r="H326" s="7">
        <v>8.7275777299572006</v>
      </c>
    </row>
    <row r="327" spans="1:8" x14ac:dyDescent="0.25">
      <c r="A327" s="7">
        <v>7</v>
      </c>
      <c r="B327" s="7">
        <v>26</v>
      </c>
      <c r="C327" s="7">
        <v>390.5</v>
      </c>
      <c r="D327" s="7" t="s">
        <v>28</v>
      </c>
      <c r="E327" s="7">
        <v>36.4547945205479</v>
      </c>
      <c r="F327" s="7">
        <v>13306</v>
      </c>
      <c r="G327" s="7">
        <v>7.66077087607189</v>
      </c>
      <c r="H327" s="7">
        <v>5.6502734288250904</v>
      </c>
    </row>
    <row r="328" spans="1:8" x14ac:dyDescent="0.25">
      <c r="A328" s="7">
        <v>7</v>
      </c>
      <c r="B328" s="7">
        <v>27</v>
      </c>
      <c r="C328" s="7">
        <v>1639.41</v>
      </c>
      <c r="D328" s="7" t="s">
        <v>27</v>
      </c>
      <c r="E328" s="7">
        <v>17.331506849315101</v>
      </c>
      <c r="F328" s="7">
        <v>6326</v>
      </c>
      <c r="G328" s="7">
        <v>6.1162003981296502</v>
      </c>
      <c r="H328" s="7">
        <v>4.2497154844504799</v>
      </c>
    </row>
    <row r="329" spans="1:8" x14ac:dyDescent="0.25">
      <c r="A329" s="7">
        <v>7</v>
      </c>
      <c r="B329" s="7">
        <v>28</v>
      </c>
      <c r="C329" s="7">
        <v>43.52</v>
      </c>
      <c r="D329" s="7" t="s">
        <v>29</v>
      </c>
      <c r="E329" s="7">
        <v>67.717808219178096</v>
      </c>
      <c r="F329" s="7">
        <v>24717</v>
      </c>
      <c r="G329" s="7">
        <v>13.6472302834655</v>
      </c>
      <c r="H329" s="7">
        <v>8.1563230056446301</v>
      </c>
    </row>
    <row r="330" spans="1:8" x14ac:dyDescent="0.25">
      <c r="A330" s="7">
        <v>7</v>
      </c>
      <c r="B330" s="7">
        <v>29</v>
      </c>
      <c r="C330" s="7">
        <v>119.82</v>
      </c>
      <c r="D330" s="7" t="s">
        <v>29</v>
      </c>
      <c r="E330" s="7">
        <v>54.449315068493199</v>
      </c>
      <c r="F330" s="7">
        <v>19874</v>
      </c>
      <c r="G330" s="7">
        <v>11.4105717069482</v>
      </c>
      <c r="H330" s="7">
        <v>7.9996083858071296</v>
      </c>
    </row>
    <row r="331" spans="1:8" x14ac:dyDescent="0.25">
      <c r="A331" s="7">
        <v>7</v>
      </c>
      <c r="B331" s="7">
        <v>30</v>
      </c>
      <c r="C331" s="7">
        <v>595.5</v>
      </c>
      <c r="D331" s="7" t="s">
        <v>27</v>
      </c>
      <c r="E331" s="7">
        <v>31.331506849315101</v>
      </c>
      <c r="F331" s="7">
        <v>11436</v>
      </c>
      <c r="G331" s="7">
        <v>7.4261694911331499</v>
      </c>
      <c r="H331" s="7">
        <v>5.2610977624190998</v>
      </c>
    </row>
    <row r="332" spans="1:8" x14ac:dyDescent="0.25">
      <c r="A332" s="7">
        <v>7</v>
      </c>
      <c r="B332" s="7">
        <v>31</v>
      </c>
      <c r="C332" s="7">
        <v>198.8</v>
      </c>
      <c r="D332" s="7" t="s">
        <v>28</v>
      </c>
      <c r="E332" s="7">
        <v>45.972602739726</v>
      </c>
      <c r="F332" s="7">
        <v>16780</v>
      </c>
      <c r="G332" s="7">
        <v>10.5622797474753</v>
      </c>
      <c r="H332" s="7">
        <v>6.7646530952803596</v>
      </c>
    </row>
    <row r="333" spans="1:8" x14ac:dyDescent="0.25">
      <c r="A333" s="7">
        <v>7</v>
      </c>
      <c r="B333" s="7">
        <v>32</v>
      </c>
      <c r="C333" s="7">
        <v>462.3</v>
      </c>
      <c r="D333" s="7" t="s">
        <v>28</v>
      </c>
      <c r="E333" s="7">
        <v>33.668493150684903</v>
      </c>
      <c r="F333" s="7">
        <v>12289</v>
      </c>
      <c r="G333" s="7">
        <v>8.9556960176757308</v>
      </c>
      <c r="H333" s="7">
        <v>6.0933051852521398</v>
      </c>
    </row>
    <row r="334" spans="1:8" x14ac:dyDescent="0.25">
      <c r="A334" s="7">
        <v>7</v>
      </c>
      <c r="B334" s="7">
        <v>33</v>
      </c>
      <c r="C334" s="7">
        <v>130.37</v>
      </c>
      <c r="D334" s="7" t="s">
        <v>29</v>
      </c>
      <c r="E334" s="7">
        <v>54.216438356164403</v>
      </c>
      <c r="F334" s="7">
        <v>19789</v>
      </c>
      <c r="G334" s="7">
        <v>11.473207744081201</v>
      </c>
      <c r="H334" s="7">
        <v>7.8004973477547299</v>
      </c>
    </row>
    <row r="335" spans="1:8" x14ac:dyDescent="0.25">
      <c r="A335" s="7">
        <v>7</v>
      </c>
      <c r="B335" s="7">
        <v>34</v>
      </c>
      <c r="C335" s="7">
        <v>1384.8</v>
      </c>
      <c r="D335" s="7" t="s">
        <v>27</v>
      </c>
      <c r="E335" s="7">
        <v>20.202739726027399</v>
      </c>
      <c r="F335" s="7">
        <v>7374</v>
      </c>
      <c r="G335" s="7">
        <v>5.4744662040951697</v>
      </c>
      <c r="H335" s="7">
        <v>4.1011517205330197</v>
      </c>
    </row>
    <row r="336" spans="1:8" x14ac:dyDescent="0.25">
      <c r="A336" s="7">
        <v>7</v>
      </c>
      <c r="B336" s="7">
        <v>35</v>
      </c>
      <c r="C336" s="7">
        <v>167.93</v>
      </c>
      <c r="D336" s="7" t="s">
        <v>28</v>
      </c>
      <c r="E336" s="7">
        <v>51.594520547945201</v>
      </c>
      <c r="F336" s="7">
        <v>18832</v>
      </c>
      <c r="G336" s="7">
        <v>10.607418141889401</v>
      </c>
      <c r="H336" s="7">
        <v>7.31967039611194</v>
      </c>
    </row>
    <row r="337" spans="1:8" x14ac:dyDescent="0.25">
      <c r="A337" s="7">
        <v>7</v>
      </c>
      <c r="B337" s="7">
        <v>36</v>
      </c>
      <c r="C337" s="7">
        <v>78.569999999999993</v>
      </c>
      <c r="D337" s="7" t="s">
        <v>29</v>
      </c>
      <c r="E337" s="7">
        <v>59.378082191780798</v>
      </c>
      <c r="F337" s="7">
        <v>21673</v>
      </c>
      <c r="G337" s="7">
        <v>12.878363466702799</v>
      </c>
      <c r="H337" s="7">
        <v>8.1800341162091108</v>
      </c>
    </row>
    <row r="338" spans="1:8" x14ac:dyDescent="0.25">
      <c r="A338" s="7">
        <v>7</v>
      </c>
      <c r="B338" s="7">
        <v>37</v>
      </c>
      <c r="C338" s="7">
        <v>1169.73</v>
      </c>
      <c r="D338" s="7" t="s">
        <v>27</v>
      </c>
      <c r="E338" s="7">
        <v>22.794520547945201</v>
      </c>
      <c r="F338" s="7">
        <v>8320</v>
      </c>
      <c r="G338" s="7">
        <v>6.2530928802123098</v>
      </c>
      <c r="H338" s="7">
        <v>4.5478103838024504</v>
      </c>
    </row>
    <row r="339" spans="1:8" x14ac:dyDescent="0.25">
      <c r="A339" s="7">
        <v>7</v>
      </c>
      <c r="B339" s="7">
        <v>38</v>
      </c>
      <c r="C339" s="7">
        <v>66.37</v>
      </c>
      <c r="D339" s="7" t="s">
        <v>29</v>
      </c>
      <c r="E339" s="7">
        <v>61.5041095890411</v>
      </c>
      <c r="F339" s="7">
        <v>22449</v>
      </c>
      <c r="G339" s="7">
        <v>14.316519581213001</v>
      </c>
      <c r="H339" s="7">
        <v>9.3532439069274602</v>
      </c>
    </row>
    <row r="340" spans="1:8" x14ac:dyDescent="0.25">
      <c r="A340" s="7">
        <v>7</v>
      </c>
      <c r="B340" s="7">
        <v>39</v>
      </c>
      <c r="C340" s="7">
        <v>503.01</v>
      </c>
      <c r="D340" s="7" t="s">
        <v>27</v>
      </c>
      <c r="E340" s="7">
        <v>34.232876712328803</v>
      </c>
      <c r="F340" s="7">
        <v>12495</v>
      </c>
      <c r="G340" s="7">
        <v>9.1156698695995004</v>
      </c>
      <c r="H340" s="7">
        <v>5.9165236708742999</v>
      </c>
    </row>
    <row r="341" spans="1:8" x14ac:dyDescent="0.25">
      <c r="A341" s="7">
        <v>7</v>
      </c>
      <c r="B341" s="7">
        <v>40</v>
      </c>
      <c r="C341" s="7">
        <v>1272.73</v>
      </c>
      <c r="D341" s="7" t="s">
        <v>27</v>
      </c>
      <c r="E341" s="7">
        <v>22.876712328767098</v>
      </c>
      <c r="F341" s="7">
        <v>8350</v>
      </c>
      <c r="G341" s="7">
        <v>7.0014929129460297</v>
      </c>
      <c r="H341" s="7">
        <v>4.7666891214961904</v>
      </c>
    </row>
    <row r="342" spans="1:8" x14ac:dyDescent="0.25">
      <c r="A342" s="7">
        <v>7</v>
      </c>
      <c r="B342" s="7">
        <v>41</v>
      </c>
      <c r="C342" s="7">
        <v>2111.73</v>
      </c>
      <c r="D342" s="7" t="s">
        <v>27</v>
      </c>
      <c r="E342" s="7">
        <v>17.123287671232902</v>
      </c>
      <c r="F342" s="7">
        <v>6250</v>
      </c>
      <c r="G342" s="7">
        <v>6.36412056596334</v>
      </c>
      <c r="H342" s="7">
        <v>4.3664022306637902</v>
      </c>
    </row>
    <row r="343" spans="1:8" x14ac:dyDescent="0.25">
      <c r="A343" s="7">
        <v>7</v>
      </c>
      <c r="B343" s="7">
        <v>42</v>
      </c>
      <c r="C343" s="7">
        <v>704.99</v>
      </c>
      <c r="D343" s="7" t="s">
        <v>27</v>
      </c>
      <c r="E343" s="7">
        <v>28.0520547945206</v>
      </c>
      <c r="F343" s="7">
        <v>10239</v>
      </c>
      <c r="G343" s="7">
        <v>8.6968095264208092</v>
      </c>
      <c r="H343" s="7">
        <v>5.7878305194144097</v>
      </c>
    </row>
    <row r="344" spans="1:8" x14ac:dyDescent="0.25">
      <c r="A344" s="7">
        <v>7</v>
      </c>
      <c r="B344" s="7">
        <v>43</v>
      </c>
      <c r="C344" s="7">
        <v>358.9</v>
      </c>
      <c r="D344" s="7" t="s">
        <v>28</v>
      </c>
      <c r="E344" s="7">
        <v>39.923287671232899</v>
      </c>
      <c r="F344" s="7">
        <v>14572</v>
      </c>
      <c r="G344" s="7">
        <v>10.0623949279769</v>
      </c>
      <c r="H344" s="7">
        <v>6.7562396997320198</v>
      </c>
    </row>
    <row r="345" spans="1:8" x14ac:dyDescent="0.25">
      <c r="A345" s="7">
        <v>7</v>
      </c>
      <c r="B345" s="7">
        <v>44</v>
      </c>
      <c r="C345" s="7">
        <v>908.1</v>
      </c>
      <c r="D345" s="7" t="s">
        <v>27</v>
      </c>
      <c r="E345" s="7">
        <v>22.846575342465801</v>
      </c>
      <c r="F345" s="7">
        <v>8339</v>
      </c>
      <c r="G345" s="7">
        <v>6.6068707088745198</v>
      </c>
      <c r="H345" s="7">
        <v>4.62689211238808</v>
      </c>
    </row>
    <row r="346" spans="1:8" x14ac:dyDescent="0.25">
      <c r="A346" s="7">
        <v>7</v>
      </c>
      <c r="B346" s="7">
        <v>45</v>
      </c>
      <c r="C346" s="7">
        <v>61</v>
      </c>
      <c r="D346" s="7" t="s">
        <v>29</v>
      </c>
      <c r="E346" s="7">
        <v>62.706849315068503</v>
      </c>
      <c r="F346" s="7">
        <v>22888</v>
      </c>
      <c r="G346" s="7">
        <v>12.7343582326972</v>
      </c>
      <c r="H346" s="7">
        <v>8.4162818267302502</v>
      </c>
    </row>
    <row r="347" spans="1:8" x14ac:dyDescent="0.25">
      <c r="A347" s="7">
        <v>7</v>
      </c>
      <c r="B347" s="7">
        <v>46</v>
      </c>
      <c r="C347" s="7">
        <v>216.31</v>
      </c>
      <c r="D347" s="7" t="s">
        <v>28</v>
      </c>
      <c r="E347" s="7">
        <v>45.5342465753425</v>
      </c>
      <c r="F347" s="7">
        <v>16620</v>
      </c>
      <c r="G347" s="7">
        <v>10.933643183898701</v>
      </c>
      <c r="H347" s="7">
        <v>7.29046936702062</v>
      </c>
    </row>
    <row r="348" spans="1:8" x14ac:dyDescent="0.25">
      <c r="A348" s="7">
        <v>7</v>
      </c>
      <c r="B348" s="7">
        <v>47</v>
      </c>
      <c r="C348" s="7">
        <v>1940.83</v>
      </c>
      <c r="D348" s="7" t="s">
        <v>27</v>
      </c>
      <c r="E348" s="7">
        <v>17.438356164383599</v>
      </c>
      <c r="F348" s="7">
        <v>6365</v>
      </c>
      <c r="G348" s="7">
        <v>5.0954927948867201</v>
      </c>
      <c r="H348" s="7">
        <v>3.8526221982845499</v>
      </c>
    </row>
    <row r="349" spans="1:8" x14ac:dyDescent="0.25">
      <c r="A349" s="7">
        <v>7</v>
      </c>
      <c r="B349" s="7">
        <v>48</v>
      </c>
      <c r="C349" s="7">
        <v>329.86</v>
      </c>
      <c r="D349" s="7" t="s">
        <v>28</v>
      </c>
      <c r="E349" s="7">
        <v>39.953424657534299</v>
      </c>
      <c r="F349" s="7">
        <v>14583</v>
      </c>
      <c r="G349" s="7">
        <v>9.8493914140876004</v>
      </c>
      <c r="H349" s="7">
        <v>6.5904257153921701</v>
      </c>
    </row>
    <row r="350" spans="1:8" x14ac:dyDescent="0.25">
      <c r="A350" s="7">
        <v>7</v>
      </c>
      <c r="B350" s="7">
        <v>49</v>
      </c>
      <c r="C350" s="7">
        <v>988.06</v>
      </c>
      <c r="D350" s="7" t="s">
        <v>27</v>
      </c>
      <c r="E350" s="7">
        <v>22.9753424657534</v>
      </c>
      <c r="F350" s="7">
        <v>8386</v>
      </c>
      <c r="G350" s="7">
        <v>7.3928078063955498</v>
      </c>
      <c r="H350" s="7">
        <v>5.0227833318997996</v>
      </c>
    </row>
    <row r="351" spans="1:8" x14ac:dyDescent="0.25">
      <c r="A351" s="7">
        <v>7</v>
      </c>
      <c r="B351" s="7">
        <v>50</v>
      </c>
      <c r="C351" s="7">
        <v>154.34</v>
      </c>
      <c r="D351" s="7" t="s">
        <v>29</v>
      </c>
      <c r="E351" s="7">
        <v>50.586301369863001</v>
      </c>
      <c r="F351" s="7">
        <v>18464</v>
      </c>
      <c r="G351" s="7">
        <v>10.870584758682501</v>
      </c>
      <c r="H351" s="7">
        <v>7.0019625795527398</v>
      </c>
    </row>
    <row r="352" spans="1:8" x14ac:dyDescent="0.25">
      <c r="A352" s="7">
        <v>8</v>
      </c>
      <c r="B352" s="7">
        <v>1</v>
      </c>
      <c r="C352" s="7">
        <v>2297.6799999999998</v>
      </c>
      <c r="D352" s="7" t="s">
        <v>27</v>
      </c>
      <c r="E352" s="7">
        <v>29.704109589041099</v>
      </c>
      <c r="F352" s="7">
        <v>10842</v>
      </c>
      <c r="G352" s="7">
        <v>7.09790922292171</v>
      </c>
      <c r="H352" s="7">
        <v>5.8827895656961804</v>
      </c>
    </row>
    <row r="353" spans="1:8" x14ac:dyDescent="0.25">
      <c r="A353" s="7">
        <v>8</v>
      </c>
      <c r="B353" s="7">
        <v>2</v>
      </c>
      <c r="C353" s="7">
        <v>235.35</v>
      </c>
      <c r="D353" s="7" t="s">
        <v>28</v>
      </c>
      <c r="E353" s="7">
        <v>80.536986301369893</v>
      </c>
      <c r="F353" s="7">
        <v>29396</v>
      </c>
      <c r="G353" s="7">
        <v>15.1972026683893</v>
      </c>
      <c r="H353" s="7">
        <v>9.8658821031890103</v>
      </c>
    </row>
    <row r="354" spans="1:8" x14ac:dyDescent="0.25">
      <c r="A354" s="7">
        <v>8</v>
      </c>
      <c r="B354" s="7">
        <v>3</v>
      </c>
      <c r="C354" s="7">
        <v>767.06</v>
      </c>
      <c r="D354" s="7" t="s">
        <v>27</v>
      </c>
      <c r="E354" s="7">
        <v>50.309589041095897</v>
      </c>
      <c r="F354" s="7">
        <v>18363</v>
      </c>
      <c r="G354" s="7">
        <v>10.805820970285099</v>
      </c>
      <c r="H354" s="7">
        <v>7.3729898193192698</v>
      </c>
    </row>
    <row r="355" spans="1:8" x14ac:dyDescent="0.25">
      <c r="A355" s="7">
        <v>8</v>
      </c>
      <c r="B355" s="7">
        <v>4</v>
      </c>
      <c r="C355" s="7">
        <v>1783.76</v>
      </c>
      <c r="D355" s="7" t="s">
        <v>27</v>
      </c>
      <c r="E355" s="7">
        <v>29.4821917808219</v>
      </c>
      <c r="F355" s="7">
        <v>10761</v>
      </c>
      <c r="G355" s="7">
        <v>7.0717688027143799</v>
      </c>
      <c r="H355" s="7">
        <v>4.7539908423986903</v>
      </c>
    </row>
    <row r="356" spans="1:8" x14ac:dyDescent="0.25">
      <c r="A356" s="7">
        <v>8</v>
      </c>
      <c r="B356" s="7">
        <v>5</v>
      </c>
      <c r="C356" s="7">
        <v>2500</v>
      </c>
      <c r="D356" s="7" t="s">
        <v>27</v>
      </c>
      <c r="E356" s="7">
        <v>25.2684931506849</v>
      </c>
      <c r="F356" s="7">
        <v>9223</v>
      </c>
      <c r="G356" s="7">
        <v>6.8261113021132998</v>
      </c>
      <c r="H356" s="7">
        <v>4.9762049364854102</v>
      </c>
    </row>
    <row r="357" spans="1:8" x14ac:dyDescent="0.25">
      <c r="A357" s="7">
        <v>8</v>
      </c>
      <c r="B357" s="7">
        <v>6</v>
      </c>
      <c r="C357" s="7">
        <v>278.63</v>
      </c>
      <c r="D357" s="7" t="s">
        <v>28</v>
      </c>
      <c r="E357" s="7">
        <v>80.0082191780822</v>
      </c>
      <c r="F357" s="7">
        <v>29203</v>
      </c>
      <c r="G357" s="7">
        <v>15.505220057146699</v>
      </c>
      <c r="H357" s="7">
        <v>9.8089974227480603</v>
      </c>
    </row>
    <row r="358" spans="1:8" x14ac:dyDescent="0.25">
      <c r="A358" s="7">
        <v>8</v>
      </c>
      <c r="B358" s="7">
        <v>7</v>
      </c>
      <c r="C358" s="7">
        <v>256.08</v>
      </c>
      <c r="D358" s="7" t="s">
        <v>28</v>
      </c>
      <c r="E358" s="7">
        <v>79.627397260273995</v>
      </c>
      <c r="F358" s="7">
        <v>29064</v>
      </c>
      <c r="G358" s="7">
        <v>15.3779273566043</v>
      </c>
      <c r="H358" s="7">
        <v>11.121727729395699</v>
      </c>
    </row>
    <row r="359" spans="1:8" x14ac:dyDescent="0.25">
      <c r="A359" s="7">
        <v>8</v>
      </c>
      <c r="B359" s="7">
        <v>8</v>
      </c>
      <c r="C359" s="7">
        <v>85.49</v>
      </c>
      <c r="D359" s="7" t="s">
        <v>29</v>
      </c>
      <c r="E359" s="7">
        <v>105.81095890411</v>
      </c>
      <c r="F359" s="7">
        <v>38621</v>
      </c>
      <c r="G359" s="7">
        <v>16.467054369214399</v>
      </c>
      <c r="H359" s="7">
        <v>11.160855984251199</v>
      </c>
    </row>
    <row r="360" spans="1:8" x14ac:dyDescent="0.25">
      <c r="A360" s="7">
        <v>8</v>
      </c>
      <c r="B360" s="7">
        <v>9</v>
      </c>
      <c r="C360" s="7">
        <v>303.16000000000003</v>
      </c>
      <c r="D360" s="7" t="s">
        <v>28</v>
      </c>
      <c r="E360" s="7">
        <v>71.353424657534305</v>
      </c>
      <c r="F360" s="7">
        <v>26044</v>
      </c>
      <c r="G360" s="7">
        <v>13.6319225347108</v>
      </c>
      <c r="H360" s="7">
        <v>9.5899131673068396</v>
      </c>
    </row>
    <row r="361" spans="1:8" x14ac:dyDescent="0.25">
      <c r="A361" s="7">
        <v>8</v>
      </c>
      <c r="B361" s="7">
        <v>10</v>
      </c>
      <c r="C361" s="7">
        <v>93.02</v>
      </c>
      <c r="D361" s="7" t="s">
        <v>29</v>
      </c>
      <c r="E361" s="7">
        <v>100.405479452055</v>
      </c>
      <c r="F361" s="7">
        <v>36648</v>
      </c>
      <c r="G361" s="7">
        <v>15.9606240275941</v>
      </c>
      <c r="H361" s="7">
        <v>9.6152136759172198</v>
      </c>
    </row>
    <row r="362" spans="1:8" x14ac:dyDescent="0.25">
      <c r="A362" s="7">
        <v>8</v>
      </c>
      <c r="B362" s="7">
        <v>11</v>
      </c>
      <c r="C362" s="7">
        <v>101.21</v>
      </c>
      <c r="D362" s="7" t="s">
        <v>29</v>
      </c>
      <c r="E362" s="7">
        <v>94.586301369862994</v>
      </c>
      <c r="F362" s="7">
        <v>34524</v>
      </c>
      <c r="G362" s="7">
        <v>13.7995469641806</v>
      </c>
      <c r="H362" s="7">
        <v>9.7178698093289508</v>
      </c>
    </row>
    <row r="363" spans="1:8" x14ac:dyDescent="0.25">
      <c r="A363" s="7">
        <v>8</v>
      </c>
      <c r="B363" s="7">
        <v>12</v>
      </c>
      <c r="C363" s="7">
        <v>110.12</v>
      </c>
      <c r="D363" s="7" t="s">
        <v>29</v>
      </c>
      <c r="E363" s="7">
        <v>95.298630136986304</v>
      </c>
      <c r="F363" s="7">
        <v>34784</v>
      </c>
      <c r="G363" s="7">
        <v>15.980040106222001</v>
      </c>
      <c r="H363" s="7">
        <v>11.031936573388499</v>
      </c>
    </row>
    <row r="364" spans="1:8" x14ac:dyDescent="0.25">
      <c r="A364" s="7">
        <v>8</v>
      </c>
      <c r="B364" s="7">
        <v>13</v>
      </c>
      <c r="C364" s="7">
        <v>47.35</v>
      </c>
      <c r="D364" s="7" t="s">
        <v>29</v>
      </c>
      <c r="E364" s="7">
        <v>115.676712328767</v>
      </c>
      <c r="F364" s="7">
        <v>42222</v>
      </c>
      <c r="G364" s="7">
        <v>18.110743895097901</v>
      </c>
      <c r="H364" s="7">
        <v>11.6571146919732</v>
      </c>
    </row>
    <row r="365" spans="1:8" x14ac:dyDescent="0.25">
      <c r="A365" s="7">
        <v>8</v>
      </c>
      <c r="B365" s="7">
        <v>14</v>
      </c>
      <c r="C365" s="7">
        <v>182.71</v>
      </c>
      <c r="D365" s="7" t="s">
        <v>28</v>
      </c>
      <c r="E365" s="7">
        <v>79.539726027397293</v>
      </c>
      <c r="F365" s="7">
        <v>29032</v>
      </c>
      <c r="G365" s="7">
        <v>15.056653642832099</v>
      </c>
      <c r="H365" s="7">
        <v>8.8971212530321395</v>
      </c>
    </row>
    <row r="366" spans="1:8" x14ac:dyDescent="0.25">
      <c r="A366" s="7">
        <v>8</v>
      </c>
      <c r="B366" s="7">
        <v>15</v>
      </c>
      <c r="C366" s="7">
        <v>40</v>
      </c>
      <c r="D366" s="7" t="s">
        <v>29</v>
      </c>
      <c r="E366" s="7">
        <v>120.753424657534</v>
      </c>
      <c r="F366" s="7">
        <v>44075</v>
      </c>
      <c r="G366" s="7">
        <v>17.403093233245801</v>
      </c>
      <c r="H366" s="7">
        <v>11.404126883904199</v>
      </c>
    </row>
    <row r="367" spans="1:8" x14ac:dyDescent="0.25">
      <c r="A367" s="7">
        <v>8</v>
      </c>
      <c r="B367" s="7">
        <v>16</v>
      </c>
      <c r="C367" s="7">
        <v>1506.73</v>
      </c>
      <c r="D367" s="7" t="s">
        <v>27</v>
      </c>
      <c r="E367" s="7">
        <v>35.5123287671233</v>
      </c>
      <c r="F367" s="7">
        <v>12962</v>
      </c>
      <c r="G367" s="7">
        <v>7.9150108074581098</v>
      </c>
      <c r="H367" s="7">
        <v>5.7893571531771402</v>
      </c>
    </row>
    <row r="368" spans="1:8" x14ac:dyDescent="0.25">
      <c r="A368" s="7">
        <v>8</v>
      </c>
      <c r="B368" s="7">
        <v>17</v>
      </c>
      <c r="C368" s="7">
        <v>834.61</v>
      </c>
      <c r="D368" s="7" t="s">
        <v>27</v>
      </c>
      <c r="E368" s="7">
        <v>44.624657534246602</v>
      </c>
      <c r="F368" s="7">
        <v>16288</v>
      </c>
      <c r="G368" s="7">
        <v>9.2835309278471403</v>
      </c>
      <c r="H368" s="7">
        <v>6.0692229329219103</v>
      </c>
    </row>
    <row r="369" spans="1:8" x14ac:dyDescent="0.25">
      <c r="A369" s="7">
        <v>8</v>
      </c>
      <c r="B369" s="7">
        <v>18</v>
      </c>
      <c r="C369" s="7">
        <v>51.52</v>
      </c>
      <c r="D369" s="7" t="s">
        <v>29</v>
      </c>
      <c r="E369" s="7">
        <v>116.48767123287701</v>
      </c>
      <c r="F369" s="7">
        <v>42518</v>
      </c>
      <c r="G369" s="7">
        <v>17.124801867090301</v>
      </c>
      <c r="H369" s="7">
        <v>11.884874757501899</v>
      </c>
    </row>
    <row r="370" spans="1:8" x14ac:dyDescent="0.25">
      <c r="A370" s="7">
        <v>8</v>
      </c>
      <c r="B370" s="7">
        <v>19</v>
      </c>
      <c r="C370" s="7">
        <v>547.29999999999995</v>
      </c>
      <c r="D370" s="7" t="s">
        <v>27</v>
      </c>
      <c r="E370" s="7">
        <v>55.298630136986297</v>
      </c>
      <c r="F370" s="7">
        <v>20184</v>
      </c>
      <c r="G370" s="7">
        <v>11.2908968910321</v>
      </c>
      <c r="H370" s="7">
        <v>7.7974864645719002</v>
      </c>
    </row>
    <row r="371" spans="1:8" x14ac:dyDescent="0.25">
      <c r="A371" s="7">
        <v>8</v>
      </c>
      <c r="B371" s="7">
        <v>20</v>
      </c>
      <c r="C371" s="7">
        <v>424.89</v>
      </c>
      <c r="D371" s="7" t="s">
        <v>28</v>
      </c>
      <c r="E371" s="7">
        <v>65</v>
      </c>
      <c r="F371" s="7">
        <v>23725</v>
      </c>
      <c r="G371" s="7">
        <v>10.927704046096</v>
      </c>
      <c r="H371" s="7">
        <v>7.9052233869078696</v>
      </c>
    </row>
    <row r="372" spans="1:8" x14ac:dyDescent="0.25">
      <c r="A372" s="7">
        <v>8</v>
      </c>
      <c r="B372" s="7">
        <v>21</v>
      </c>
      <c r="C372" s="7">
        <v>647.92999999999995</v>
      </c>
      <c r="D372" s="7" t="s">
        <v>27</v>
      </c>
      <c r="E372" s="7">
        <v>55.0520547945206</v>
      </c>
      <c r="F372" s="7">
        <v>20094</v>
      </c>
      <c r="G372" s="7">
        <v>12.8626235863129</v>
      </c>
      <c r="H372" s="7">
        <v>8.0634532479260592</v>
      </c>
    </row>
    <row r="373" spans="1:8" x14ac:dyDescent="0.25">
      <c r="A373" s="7">
        <v>8</v>
      </c>
      <c r="B373" s="7">
        <v>22</v>
      </c>
      <c r="C373" s="7">
        <v>72.209999999999994</v>
      </c>
      <c r="D373" s="7" t="s">
        <v>29</v>
      </c>
      <c r="E373" s="7">
        <v>110.66575342465801</v>
      </c>
      <c r="F373" s="7">
        <v>40393</v>
      </c>
      <c r="G373" s="7">
        <v>17.927043314154702</v>
      </c>
      <c r="H373" s="7">
        <v>10.683979319513501</v>
      </c>
    </row>
    <row r="374" spans="1:8" x14ac:dyDescent="0.25">
      <c r="A374" s="7">
        <v>8</v>
      </c>
      <c r="B374" s="7">
        <v>23</v>
      </c>
      <c r="C374" s="7">
        <v>1075.06</v>
      </c>
      <c r="D374" s="7" t="s">
        <v>27</v>
      </c>
      <c r="E374" s="7">
        <v>40.071232876712301</v>
      </c>
      <c r="F374" s="7">
        <v>14626</v>
      </c>
      <c r="G374" s="7">
        <v>10.4596921588226</v>
      </c>
      <c r="H374" s="7">
        <v>7.7608247126047898</v>
      </c>
    </row>
    <row r="375" spans="1:8" x14ac:dyDescent="0.25">
      <c r="A375" s="7">
        <v>8</v>
      </c>
      <c r="B375" s="7">
        <v>24</v>
      </c>
      <c r="C375" s="7">
        <v>141.85</v>
      </c>
      <c r="D375" s="7" t="s">
        <v>29</v>
      </c>
      <c r="E375" s="7">
        <v>90.0465753424658</v>
      </c>
      <c r="F375" s="7">
        <v>32867</v>
      </c>
      <c r="G375" s="7">
        <v>14.9948987981432</v>
      </c>
      <c r="H375" s="7">
        <v>9.9925654039600094</v>
      </c>
    </row>
    <row r="376" spans="1:8" x14ac:dyDescent="0.25">
      <c r="A376" s="7">
        <v>8</v>
      </c>
      <c r="B376" s="7">
        <v>25</v>
      </c>
      <c r="C376" s="7">
        <v>56.06</v>
      </c>
      <c r="D376" s="7" t="s">
        <v>29</v>
      </c>
      <c r="E376" s="7">
        <v>110.279452054795</v>
      </c>
      <c r="F376" s="7">
        <v>40252</v>
      </c>
      <c r="G376" s="7">
        <v>17.505565288030901</v>
      </c>
      <c r="H376" s="7">
        <v>10.650953729525201</v>
      </c>
    </row>
    <row r="377" spans="1:8" x14ac:dyDescent="0.25">
      <c r="A377" s="7">
        <v>8</v>
      </c>
      <c r="B377" s="7">
        <v>26</v>
      </c>
      <c r="C377" s="7">
        <v>390.5</v>
      </c>
      <c r="D377" s="7" t="s">
        <v>28</v>
      </c>
      <c r="E377" s="7">
        <v>65.405479452054806</v>
      </c>
      <c r="F377" s="7">
        <v>23873</v>
      </c>
      <c r="G377" s="7">
        <v>14.5145156926</v>
      </c>
      <c r="H377" s="7">
        <v>8.8003088817560204</v>
      </c>
    </row>
    <row r="378" spans="1:8" x14ac:dyDescent="0.25">
      <c r="A378" s="7">
        <v>8</v>
      </c>
      <c r="B378" s="7">
        <v>27</v>
      </c>
      <c r="C378" s="7">
        <v>1639.41</v>
      </c>
      <c r="D378" s="7" t="s">
        <v>27</v>
      </c>
      <c r="E378" s="7">
        <v>30.583561643835601</v>
      </c>
      <c r="F378" s="7">
        <v>11163</v>
      </c>
      <c r="G378" s="7">
        <v>7.1830462789929097</v>
      </c>
      <c r="H378" s="7">
        <v>4.9665223521704798</v>
      </c>
    </row>
    <row r="379" spans="1:8" x14ac:dyDescent="0.25">
      <c r="A379" s="7">
        <v>8</v>
      </c>
      <c r="B379" s="7">
        <v>28</v>
      </c>
      <c r="C379" s="7">
        <v>43.52</v>
      </c>
      <c r="D379" s="7" t="s">
        <v>29</v>
      </c>
      <c r="E379" s="7">
        <v>120.161643835616</v>
      </c>
      <c r="F379" s="7">
        <v>43859</v>
      </c>
      <c r="G379" s="7">
        <v>19.276209811366702</v>
      </c>
      <c r="H379" s="7">
        <v>12.151132963092101</v>
      </c>
    </row>
    <row r="380" spans="1:8" x14ac:dyDescent="0.25">
      <c r="A380" s="7">
        <v>8</v>
      </c>
      <c r="B380" s="7">
        <v>29</v>
      </c>
      <c r="C380" s="7">
        <v>119.82</v>
      </c>
      <c r="D380" s="7" t="s">
        <v>29</v>
      </c>
      <c r="E380" s="7">
        <v>95.238356164383603</v>
      </c>
      <c r="F380" s="7">
        <v>34762</v>
      </c>
      <c r="G380" s="7">
        <v>15.631243138791699</v>
      </c>
      <c r="H380" s="7">
        <v>10.037293877954401</v>
      </c>
    </row>
    <row r="381" spans="1:8" x14ac:dyDescent="0.25">
      <c r="A381" s="7">
        <v>8</v>
      </c>
      <c r="B381" s="7">
        <v>30</v>
      </c>
      <c r="C381" s="7">
        <v>595.5</v>
      </c>
      <c r="D381" s="7" t="s">
        <v>27</v>
      </c>
      <c r="E381" s="7">
        <v>55.2</v>
      </c>
      <c r="F381" s="7">
        <v>20148</v>
      </c>
      <c r="G381" s="7">
        <v>10.321723875175801</v>
      </c>
      <c r="H381" s="7">
        <v>6.4145175530716898</v>
      </c>
    </row>
    <row r="382" spans="1:8" x14ac:dyDescent="0.25">
      <c r="A382" s="7">
        <v>8</v>
      </c>
      <c r="B382" s="7">
        <v>31</v>
      </c>
      <c r="C382" s="7">
        <v>198.8</v>
      </c>
      <c r="D382" s="7" t="s">
        <v>28</v>
      </c>
      <c r="E382" s="7">
        <v>79.775342465753397</v>
      </c>
      <c r="F382" s="7">
        <v>29118</v>
      </c>
      <c r="G382" s="7">
        <v>10.926261118761399</v>
      </c>
      <c r="H382" s="7">
        <v>8.71468726327927</v>
      </c>
    </row>
    <row r="383" spans="1:8" x14ac:dyDescent="0.25">
      <c r="A383" s="7">
        <v>8</v>
      </c>
      <c r="B383" s="7">
        <v>32</v>
      </c>
      <c r="C383" s="7">
        <v>462.3</v>
      </c>
      <c r="D383" s="7" t="s">
        <v>28</v>
      </c>
      <c r="E383" s="7">
        <v>60.413698630136999</v>
      </c>
      <c r="F383" s="7">
        <v>22051</v>
      </c>
      <c r="G383" s="7">
        <v>12.6273115371214</v>
      </c>
      <c r="H383" s="7">
        <v>8.5638164634532306</v>
      </c>
    </row>
    <row r="384" spans="1:8" x14ac:dyDescent="0.25">
      <c r="A384" s="7">
        <v>8</v>
      </c>
      <c r="B384" s="7">
        <v>33</v>
      </c>
      <c r="C384" s="7">
        <v>130.37</v>
      </c>
      <c r="D384" s="7" t="s">
        <v>29</v>
      </c>
      <c r="E384" s="7">
        <v>96.071232876712301</v>
      </c>
      <c r="F384" s="7">
        <v>35066</v>
      </c>
      <c r="G384" s="7">
        <v>17.4979454121187</v>
      </c>
      <c r="H384" s="7">
        <v>11.307846493587199</v>
      </c>
    </row>
    <row r="385" spans="1:8" x14ac:dyDescent="0.25">
      <c r="A385" s="7">
        <v>8</v>
      </c>
      <c r="B385" s="7">
        <v>34</v>
      </c>
      <c r="C385" s="7">
        <v>1384.8</v>
      </c>
      <c r="D385" s="7" t="s">
        <v>27</v>
      </c>
      <c r="E385" s="7">
        <v>35.315068493150697</v>
      </c>
      <c r="F385" s="7">
        <v>12890</v>
      </c>
      <c r="G385" s="7">
        <v>8.3946209428424208</v>
      </c>
      <c r="H385" s="7">
        <v>6.0550856836096099</v>
      </c>
    </row>
    <row r="386" spans="1:8" x14ac:dyDescent="0.25">
      <c r="A386" s="7">
        <v>8</v>
      </c>
      <c r="B386" s="7">
        <v>35</v>
      </c>
      <c r="C386" s="7">
        <v>167.93</v>
      </c>
      <c r="D386" s="7" t="s">
        <v>28</v>
      </c>
      <c r="E386" s="7">
        <v>89.539726027397293</v>
      </c>
      <c r="F386" s="7">
        <v>32682</v>
      </c>
      <c r="G386" s="7">
        <v>14.983491473031499</v>
      </c>
      <c r="H386" s="7">
        <v>11.248289713594</v>
      </c>
    </row>
    <row r="387" spans="1:8" x14ac:dyDescent="0.25">
      <c r="A387" s="7">
        <v>8</v>
      </c>
      <c r="B387" s="7">
        <v>36</v>
      </c>
      <c r="C387" s="7">
        <v>78.569999999999993</v>
      </c>
      <c r="D387" s="7" t="s">
        <v>29</v>
      </c>
      <c r="E387" s="7">
        <v>105.156164383562</v>
      </c>
      <c r="F387" s="7">
        <v>38382</v>
      </c>
      <c r="G387" s="7">
        <v>17.785266238501801</v>
      </c>
      <c r="H387" s="7">
        <v>10.8835332679143</v>
      </c>
    </row>
    <row r="388" spans="1:8" x14ac:dyDescent="0.25">
      <c r="A388" s="7">
        <v>8</v>
      </c>
      <c r="B388" s="7">
        <v>37</v>
      </c>
      <c r="C388" s="7">
        <v>1169.73</v>
      </c>
      <c r="D388" s="7" t="s">
        <v>27</v>
      </c>
      <c r="E388" s="7">
        <v>40.443835616438399</v>
      </c>
      <c r="F388" s="7">
        <v>14762</v>
      </c>
      <c r="G388" s="7">
        <v>8.6441778555220505</v>
      </c>
      <c r="H388" s="7">
        <v>6.1660635364390997</v>
      </c>
    </row>
    <row r="389" spans="1:8" x14ac:dyDescent="0.25">
      <c r="A389" s="7">
        <v>8</v>
      </c>
      <c r="B389" s="7">
        <v>38</v>
      </c>
      <c r="C389" s="7">
        <v>66.37</v>
      </c>
      <c r="D389" s="7" t="s">
        <v>29</v>
      </c>
      <c r="E389" s="7">
        <v>109.890410958904</v>
      </c>
      <c r="F389" s="7">
        <v>40110</v>
      </c>
      <c r="G389" s="7">
        <v>15.7071678489372</v>
      </c>
      <c r="H389" s="7">
        <v>11.544094672327001</v>
      </c>
    </row>
    <row r="390" spans="1:8" x14ac:dyDescent="0.25">
      <c r="A390" s="7">
        <v>8</v>
      </c>
      <c r="B390" s="7">
        <v>39</v>
      </c>
      <c r="C390" s="7">
        <v>503.01</v>
      </c>
      <c r="D390" s="7" t="s">
        <v>27</v>
      </c>
      <c r="E390" s="7">
        <v>59.906849315068499</v>
      </c>
      <c r="F390" s="7">
        <v>21866</v>
      </c>
      <c r="G390" s="7">
        <v>13.2923816682967</v>
      </c>
      <c r="H390" s="7">
        <v>8.4139056036310507</v>
      </c>
    </row>
    <row r="391" spans="1:8" x14ac:dyDescent="0.25">
      <c r="A391" s="7">
        <v>8</v>
      </c>
      <c r="B391" s="7">
        <v>40</v>
      </c>
      <c r="C391" s="7">
        <v>1272.73</v>
      </c>
      <c r="D391" s="7" t="s">
        <v>27</v>
      </c>
      <c r="E391" s="7">
        <v>40.101369863013701</v>
      </c>
      <c r="F391" s="7">
        <v>14637</v>
      </c>
      <c r="G391" s="7">
        <v>8.9629752841130603</v>
      </c>
      <c r="H391" s="7">
        <v>6.2516926370166601</v>
      </c>
    </row>
    <row r="392" spans="1:8" x14ac:dyDescent="0.25">
      <c r="A392" s="7">
        <v>8</v>
      </c>
      <c r="B392" s="7">
        <v>41</v>
      </c>
      <c r="C392" s="7">
        <v>2111.73</v>
      </c>
      <c r="D392" s="7" t="s">
        <v>27</v>
      </c>
      <c r="E392" s="7">
        <v>30.065753424657501</v>
      </c>
      <c r="F392" s="7">
        <v>10974</v>
      </c>
      <c r="G392" s="7">
        <v>9.3423499776870909</v>
      </c>
      <c r="H392" s="7">
        <v>6.0937535914181398</v>
      </c>
    </row>
    <row r="393" spans="1:8" x14ac:dyDescent="0.25">
      <c r="A393" s="7">
        <v>8</v>
      </c>
      <c r="B393" s="7">
        <v>42</v>
      </c>
      <c r="C393" s="7">
        <v>704.99</v>
      </c>
      <c r="D393" s="7" t="s">
        <v>27</v>
      </c>
      <c r="E393" s="7">
        <v>49.736986301369903</v>
      </c>
      <c r="F393" s="7">
        <v>18154</v>
      </c>
      <c r="G393" s="7">
        <v>10.384319420319301</v>
      </c>
      <c r="H393" s="7">
        <v>7.5317583041035503</v>
      </c>
    </row>
    <row r="394" spans="1:8" x14ac:dyDescent="0.25">
      <c r="A394" s="7">
        <v>8</v>
      </c>
      <c r="B394" s="7">
        <v>43</v>
      </c>
      <c r="C394" s="7">
        <v>358.9</v>
      </c>
      <c r="D394" s="7" t="s">
        <v>28</v>
      </c>
      <c r="E394" s="7">
        <v>70.408219178082206</v>
      </c>
      <c r="F394" s="7">
        <v>25699</v>
      </c>
      <c r="G394" s="7">
        <v>15.086955316954599</v>
      </c>
      <c r="H394" s="7">
        <v>9.4606870085145101</v>
      </c>
    </row>
    <row r="395" spans="1:8" x14ac:dyDescent="0.25">
      <c r="A395" s="7">
        <v>8</v>
      </c>
      <c r="B395" s="7">
        <v>44</v>
      </c>
      <c r="C395" s="7">
        <v>908.1</v>
      </c>
      <c r="D395" s="7" t="s">
        <v>27</v>
      </c>
      <c r="E395" s="7">
        <v>39.947945205479499</v>
      </c>
      <c r="F395" s="7">
        <v>14581</v>
      </c>
      <c r="G395" s="7">
        <v>8.59749182860633</v>
      </c>
      <c r="H395" s="7">
        <v>5.6679961593839296</v>
      </c>
    </row>
    <row r="396" spans="1:8" x14ac:dyDescent="0.25">
      <c r="A396" s="7">
        <v>8</v>
      </c>
      <c r="B396" s="7">
        <v>45</v>
      </c>
      <c r="C396" s="7">
        <v>61</v>
      </c>
      <c r="D396" s="7" t="s">
        <v>29</v>
      </c>
      <c r="E396" s="7">
        <v>110.068493150685</v>
      </c>
      <c r="F396" s="7">
        <v>40175</v>
      </c>
      <c r="G396" s="7">
        <v>16.597768084864601</v>
      </c>
      <c r="H396" s="7">
        <v>11.428482633281</v>
      </c>
    </row>
    <row r="397" spans="1:8" x14ac:dyDescent="0.25">
      <c r="A397" s="7">
        <v>8</v>
      </c>
      <c r="B397" s="7">
        <v>46</v>
      </c>
      <c r="C397" s="7">
        <v>216.31</v>
      </c>
      <c r="D397" s="7" t="s">
        <v>28</v>
      </c>
      <c r="E397" s="7">
        <v>79.764383561643797</v>
      </c>
      <c r="F397" s="7">
        <v>29114</v>
      </c>
      <c r="G397" s="7">
        <v>13.160495367508201</v>
      </c>
      <c r="H397" s="7">
        <v>8.7690134183911699</v>
      </c>
    </row>
    <row r="398" spans="1:8" x14ac:dyDescent="0.25">
      <c r="A398" s="7">
        <v>8</v>
      </c>
      <c r="B398" s="7">
        <v>47</v>
      </c>
      <c r="C398" s="7">
        <v>1940.83</v>
      </c>
      <c r="D398" s="7" t="s">
        <v>27</v>
      </c>
      <c r="E398" s="7">
        <v>30.2328767123288</v>
      </c>
      <c r="F398" s="7">
        <v>11035</v>
      </c>
      <c r="G398" s="7">
        <v>8.2841541358653501</v>
      </c>
      <c r="H398" s="7">
        <v>5.9477993155733202</v>
      </c>
    </row>
    <row r="399" spans="1:8" x14ac:dyDescent="0.25">
      <c r="A399" s="7">
        <v>8</v>
      </c>
      <c r="B399" s="7">
        <v>48</v>
      </c>
      <c r="C399" s="7">
        <v>329.86</v>
      </c>
      <c r="D399" s="7" t="s">
        <v>28</v>
      </c>
      <c r="E399" s="7">
        <v>70.712328767123296</v>
      </c>
      <c r="F399" s="7">
        <v>25810</v>
      </c>
      <c r="G399" s="7">
        <v>14.2841781304992</v>
      </c>
      <c r="H399" s="7">
        <v>9.3709544586539604</v>
      </c>
    </row>
    <row r="400" spans="1:8" x14ac:dyDescent="0.25">
      <c r="A400" s="7">
        <v>8</v>
      </c>
      <c r="B400" s="7">
        <v>49</v>
      </c>
      <c r="C400" s="7">
        <v>988.06</v>
      </c>
      <c r="D400" s="7" t="s">
        <v>27</v>
      </c>
      <c r="E400" s="7">
        <v>40.065753424657501</v>
      </c>
      <c r="F400" s="7">
        <v>14624</v>
      </c>
      <c r="G400" s="7">
        <v>9.8154677215814097</v>
      </c>
      <c r="H400" s="7">
        <v>6.4184444105499097</v>
      </c>
    </row>
    <row r="401" spans="1:8" x14ac:dyDescent="0.25">
      <c r="A401" s="7">
        <v>8</v>
      </c>
      <c r="B401" s="7">
        <v>50</v>
      </c>
      <c r="C401" s="7">
        <v>154.34</v>
      </c>
      <c r="D401" s="7" t="s">
        <v>29</v>
      </c>
      <c r="E401" s="7">
        <v>90.087671232876701</v>
      </c>
      <c r="F401" s="7">
        <v>32882</v>
      </c>
      <c r="G401" s="7">
        <v>14.2301193663679</v>
      </c>
      <c r="H401" s="7">
        <v>9.2744635246723792</v>
      </c>
    </row>
    <row r="402" spans="1:8" x14ac:dyDescent="0.25">
      <c r="A402" s="7">
        <v>9</v>
      </c>
      <c r="B402" s="7">
        <v>1</v>
      </c>
      <c r="C402" s="7">
        <v>2297.6799999999998</v>
      </c>
      <c r="D402" s="7" t="s">
        <v>27</v>
      </c>
      <c r="E402" s="7">
        <v>26.167123287671199</v>
      </c>
      <c r="F402" s="7">
        <v>9551</v>
      </c>
      <c r="G402" s="7">
        <v>6.8072921188531303</v>
      </c>
      <c r="H402" s="7">
        <v>4.6414311819730401</v>
      </c>
    </row>
    <row r="403" spans="1:8" x14ac:dyDescent="0.25">
      <c r="A403" s="7">
        <v>9</v>
      </c>
      <c r="B403" s="7">
        <v>2</v>
      </c>
      <c r="C403" s="7">
        <v>235.35</v>
      </c>
      <c r="D403" s="7" t="s">
        <v>28</v>
      </c>
      <c r="E403" s="7">
        <v>68.605479452054794</v>
      </c>
      <c r="F403" s="7">
        <v>25041</v>
      </c>
      <c r="G403" s="7">
        <v>12.682702065294199</v>
      </c>
      <c r="H403" s="7">
        <v>8.18656092255614</v>
      </c>
    </row>
    <row r="404" spans="1:8" x14ac:dyDescent="0.25">
      <c r="A404" s="7">
        <v>9</v>
      </c>
      <c r="B404" s="7">
        <v>3</v>
      </c>
      <c r="C404" s="7">
        <v>767.06</v>
      </c>
      <c r="D404" s="7" t="s">
        <v>27</v>
      </c>
      <c r="E404" s="7">
        <v>42.2</v>
      </c>
      <c r="F404" s="7">
        <v>15403</v>
      </c>
      <c r="G404" s="7">
        <v>8.3203306744534107</v>
      </c>
      <c r="H404" s="7">
        <v>6.0904459448370298</v>
      </c>
    </row>
    <row r="405" spans="1:8" x14ac:dyDescent="0.25">
      <c r="A405" s="7">
        <v>9</v>
      </c>
      <c r="B405" s="7">
        <v>4</v>
      </c>
      <c r="C405" s="7">
        <v>1783.76</v>
      </c>
      <c r="D405" s="7" t="s">
        <v>27</v>
      </c>
      <c r="E405" s="7">
        <v>25.4904109589041</v>
      </c>
      <c r="F405" s="7">
        <v>9304</v>
      </c>
      <c r="G405" s="7">
        <v>7.8897987926217397</v>
      </c>
      <c r="H405" s="7">
        <v>5.5992555444319603</v>
      </c>
    </row>
    <row r="406" spans="1:8" x14ac:dyDescent="0.25">
      <c r="A406" s="7">
        <v>9</v>
      </c>
      <c r="B406" s="7">
        <v>5</v>
      </c>
      <c r="C406" s="7">
        <v>2500</v>
      </c>
      <c r="D406" s="7" t="s">
        <v>27</v>
      </c>
      <c r="E406" s="7">
        <v>21.4712328767123</v>
      </c>
      <c r="F406" s="7">
        <v>7837</v>
      </c>
      <c r="G406" s="7">
        <v>6.2237600150005097</v>
      </c>
      <c r="H406" s="7">
        <v>4.3427402353135003</v>
      </c>
    </row>
    <row r="407" spans="1:8" x14ac:dyDescent="0.25">
      <c r="A407" s="7">
        <v>9</v>
      </c>
      <c r="B407" s="7">
        <v>6</v>
      </c>
      <c r="C407" s="7">
        <v>278.63</v>
      </c>
      <c r="D407" s="7" t="s">
        <v>28</v>
      </c>
      <c r="E407" s="7">
        <v>68.260273972602803</v>
      </c>
      <c r="F407" s="7">
        <v>24915</v>
      </c>
      <c r="G407" s="7">
        <v>11.5688594648206</v>
      </c>
      <c r="H407" s="7">
        <v>7.8935800726845899</v>
      </c>
    </row>
    <row r="408" spans="1:8" x14ac:dyDescent="0.25">
      <c r="A408" s="7">
        <v>9</v>
      </c>
      <c r="B408" s="7">
        <v>7</v>
      </c>
      <c r="C408" s="7">
        <v>256.08</v>
      </c>
      <c r="D408" s="7" t="s">
        <v>28</v>
      </c>
      <c r="E408" s="7">
        <v>68.709589041095896</v>
      </c>
      <c r="F408" s="7">
        <v>25079</v>
      </c>
      <c r="G408" s="7">
        <v>12.972549024351499</v>
      </c>
      <c r="H408" s="7">
        <v>8.8860974303880198</v>
      </c>
    </row>
    <row r="409" spans="1:8" x14ac:dyDescent="0.25">
      <c r="A409" s="7">
        <v>9</v>
      </c>
      <c r="B409" s="7">
        <v>8</v>
      </c>
      <c r="C409" s="7">
        <v>85.49</v>
      </c>
      <c r="D409" s="7" t="s">
        <v>29</v>
      </c>
      <c r="E409" s="7">
        <v>90.347945205479405</v>
      </c>
      <c r="F409" s="7">
        <v>32977</v>
      </c>
      <c r="G409" s="7">
        <v>15.758767344190099</v>
      </c>
      <c r="H409" s="7">
        <v>9.6174312360777705</v>
      </c>
    </row>
    <row r="410" spans="1:8" x14ac:dyDescent="0.25">
      <c r="A410" s="7">
        <v>9</v>
      </c>
      <c r="B410" s="7">
        <v>9</v>
      </c>
      <c r="C410" s="7">
        <v>303.16000000000003</v>
      </c>
      <c r="D410" s="7" t="s">
        <v>28</v>
      </c>
      <c r="E410" s="7">
        <v>60.386301369862998</v>
      </c>
      <c r="F410" s="7">
        <v>22041</v>
      </c>
      <c r="G410" s="7">
        <v>12.104197050603901</v>
      </c>
      <c r="H410" s="7">
        <v>8.3355455373671301</v>
      </c>
    </row>
    <row r="411" spans="1:8" x14ac:dyDescent="0.25">
      <c r="A411" s="7">
        <v>9</v>
      </c>
      <c r="B411" s="7">
        <v>10</v>
      </c>
      <c r="C411" s="7">
        <v>93.02</v>
      </c>
      <c r="D411" s="7" t="s">
        <v>29</v>
      </c>
      <c r="E411" s="7">
        <v>86.9643835616438</v>
      </c>
      <c r="F411" s="7">
        <v>31742</v>
      </c>
      <c r="G411" s="7">
        <v>15.924151321741601</v>
      </c>
      <c r="H411" s="7">
        <v>9.8563389647169295</v>
      </c>
    </row>
    <row r="412" spans="1:8" x14ac:dyDescent="0.25">
      <c r="A412" s="7">
        <v>9</v>
      </c>
      <c r="B412" s="7">
        <v>11</v>
      </c>
      <c r="C412" s="7">
        <v>101.21</v>
      </c>
      <c r="D412" s="7" t="s">
        <v>29</v>
      </c>
      <c r="E412" s="7">
        <v>81.835616438356197</v>
      </c>
      <c r="F412" s="7">
        <v>29870</v>
      </c>
      <c r="G412" s="7">
        <v>13.2923502171463</v>
      </c>
      <c r="H412" s="7">
        <v>9.0392658402299695</v>
      </c>
    </row>
    <row r="413" spans="1:8" x14ac:dyDescent="0.25">
      <c r="A413" s="7">
        <v>9</v>
      </c>
      <c r="B413" s="7">
        <v>12</v>
      </c>
      <c r="C413" s="7">
        <v>110.12</v>
      </c>
      <c r="D413" s="7" t="s">
        <v>29</v>
      </c>
      <c r="E413" s="7">
        <v>82.084931506849301</v>
      </c>
      <c r="F413" s="7">
        <v>29961</v>
      </c>
      <c r="G413" s="7">
        <v>14.9515981309642</v>
      </c>
      <c r="H413" s="7">
        <v>10.1108093805747</v>
      </c>
    </row>
    <row r="414" spans="1:8" x14ac:dyDescent="0.25">
      <c r="A414" s="7">
        <v>9</v>
      </c>
      <c r="B414" s="7">
        <v>13</v>
      </c>
      <c r="C414" s="7">
        <v>47.35</v>
      </c>
      <c r="D414" s="7" t="s">
        <v>29</v>
      </c>
      <c r="E414" s="7">
        <v>99.556164383561594</v>
      </c>
      <c r="F414" s="7">
        <v>36338</v>
      </c>
      <c r="G414" s="7">
        <v>17.331025043234199</v>
      </c>
      <c r="H414" s="7">
        <v>9.8019809735978907</v>
      </c>
    </row>
    <row r="415" spans="1:8" x14ac:dyDescent="0.25">
      <c r="A415" s="7">
        <v>9</v>
      </c>
      <c r="B415" s="7">
        <v>14</v>
      </c>
      <c r="C415" s="7">
        <v>182.71</v>
      </c>
      <c r="D415" s="7" t="s">
        <v>28</v>
      </c>
      <c r="E415" s="7">
        <v>68.602739726027394</v>
      </c>
      <c r="F415" s="7">
        <v>25040</v>
      </c>
      <c r="G415" s="7">
        <v>12.5352060353543</v>
      </c>
      <c r="H415" s="7">
        <v>7.9200188851842901</v>
      </c>
    </row>
    <row r="416" spans="1:8" x14ac:dyDescent="0.25">
      <c r="A416" s="7">
        <v>9</v>
      </c>
      <c r="B416" s="7">
        <v>15</v>
      </c>
      <c r="C416" s="7">
        <v>40</v>
      </c>
      <c r="D416" s="7" t="s">
        <v>29</v>
      </c>
      <c r="E416" s="7">
        <v>103.934246575343</v>
      </c>
      <c r="F416" s="7">
        <v>37936</v>
      </c>
      <c r="G416" s="7">
        <v>15.989586165468801</v>
      </c>
      <c r="H416" s="7">
        <v>10.452227626933199</v>
      </c>
    </row>
    <row r="417" spans="1:8" x14ac:dyDescent="0.25">
      <c r="A417" s="7">
        <v>9</v>
      </c>
      <c r="B417" s="7">
        <v>16</v>
      </c>
      <c r="C417" s="7">
        <v>1506.73</v>
      </c>
      <c r="D417" s="7" t="s">
        <v>27</v>
      </c>
      <c r="E417" s="7">
        <v>30.309589041095901</v>
      </c>
      <c r="F417" s="7">
        <v>11063</v>
      </c>
      <c r="G417" s="7">
        <v>8.2259872199604498</v>
      </c>
      <c r="H417" s="7">
        <v>5.5020797746324703</v>
      </c>
    </row>
    <row r="418" spans="1:8" x14ac:dyDescent="0.25">
      <c r="A418" s="7">
        <v>9</v>
      </c>
      <c r="B418" s="7">
        <v>17</v>
      </c>
      <c r="C418" s="7">
        <v>834.61</v>
      </c>
      <c r="D418" s="7" t="s">
        <v>27</v>
      </c>
      <c r="E418" s="7">
        <v>39.252054794520603</v>
      </c>
      <c r="F418" s="7">
        <v>14327</v>
      </c>
      <c r="G418" s="7">
        <v>11.321027836960599</v>
      </c>
      <c r="H418" s="7">
        <v>7.31934407494954</v>
      </c>
    </row>
    <row r="419" spans="1:8" x14ac:dyDescent="0.25">
      <c r="A419" s="7">
        <v>9</v>
      </c>
      <c r="B419" s="7">
        <v>18</v>
      </c>
      <c r="C419" s="7">
        <v>51.52</v>
      </c>
      <c r="D419" s="7" t="s">
        <v>29</v>
      </c>
      <c r="E419" s="7">
        <v>98.8</v>
      </c>
      <c r="F419" s="7">
        <v>36062</v>
      </c>
      <c r="G419" s="7">
        <v>17.4395276239301</v>
      </c>
      <c r="H419" s="7">
        <v>11.2249565974766</v>
      </c>
    </row>
    <row r="420" spans="1:8" x14ac:dyDescent="0.25">
      <c r="A420" s="7">
        <v>9</v>
      </c>
      <c r="B420" s="7">
        <v>19</v>
      </c>
      <c r="C420" s="7">
        <v>547.29999999999995</v>
      </c>
      <c r="D420" s="7" t="s">
        <v>27</v>
      </c>
      <c r="E420" s="7">
        <v>47.756164383561703</v>
      </c>
      <c r="F420" s="7">
        <v>17431</v>
      </c>
      <c r="G420" s="7">
        <v>10.909872707945899</v>
      </c>
      <c r="H420" s="7">
        <v>7.0425725174609397</v>
      </c>
    </row>
    <row r="421" spans="1:8" x14ac:dyDescent="0.25">
      <c r="A421" s="7">
        <v>9</v>
      </c>
      <c r="B421" s="7">
        <v>20</v>
      </c>
      <c r="C421" s="7">
        <v>424.89</v>
      </c>
      <c r="D421" s="7" t="s">
        <v>28</v>
      </c>
      <c r="E421" s="7">
        <v>55.290410958904097</v>
      </c>
      <c r="F421" s="7">
        <v>20181</v>
      </c>
      <c r="G421" s="7">
        <v>11.031640200948001</v>
      </c>
      <c r="H421" s="7">
        <v>7.7742978510387104</v>
      </c>
    </row>
    <row r="422" spans="1:8" x14ac:dyDescent="0.25">
      <c r="A422" s="7">
        <v>9</v>
      </c>
      <c r="B422" s="7">
        <v>21</v>
      </c>
      <c r="C422" s="7">
        <v>647.92999999999995</v>
      </c>
      <c r="D422" s="7" t="s">
        <v>27</v>
      </c>
      <c r="E422" s="7">
        <v>47.783561643835597</v>
      </c>
      <c r="F422" s="7">
        <v>17441</v>
      </c>
      <c r="G422" s="7">
        <v>9.7223765525180994</v>
      </c>
      <c r="H422" s="7">
        <v>7.3106689276545804</v>
      </c>
    </row>
    <row r="423" spans="1:8" x14ac:dyDescent="0.25">
      <c r="A423" s="7">
        <v>9</v>
      </c>
      <c r="B423" s="7">
        <v>22</v>
      </c>
      <c r="C423" s="7">
        <v>72.209999999999994</v>
      </c>
      <c r="D423" s="7" t="s">
        <v>29</v>
      </c>
      <c r="E423" s="7">
        <v>94.901369863013699</v>
      </c>
      <c r="F423" s="7">
        <v>34639</v>
      </c>
      <c r="G423" s="7">
        <v>15.8299461595194</v>
      </c>
      <c r="H423" s="7">
        <v>10.066543667692899</v>
      </c>
    </row>
    <row r="424" spans="1:8" x14ac:dyDescent="0.25">
      <c r="A424" s="7">
        <v>9</v>
      </c>
      <c r="B424" s="7">
        <v>23</v>
      </c>
      <c r="C424" s="7">
        <v>1075.06</v>
      </c>
      <c r="D424" s="7" t="s">
        <v>27</v>
      </c>
      <c r="E424" s="7">
        <v>34.101369863013701</v>
      </c>
      <c r="F424" s="7">
        <v>12447</v>
      </c>
      <c r="G424" s="7">
        <v>9.6078073345250399</v>
      </c>
      <c r="H424" s="7">
        <v>6.61675525105146</v>
      </c>
    </row>
    <row r="425" spans="1:8" x14ac:dyDescent="0.25">
      <c r="A425" s="7">
        <v>9</v>
      </c>
      <c r="B425" s="7">
        <v>24</v>
      </c>
      <c r="C425" s="7">
        <v>141.85</v>
      </c>
      <c r="D425" s="7" t="s">
        <v>29</v>
      </c>
      <c r="E425" s="7">
        <v>76.926027397260299</v>
      </c>
      <c r="F425" s="7">
        <v>28078</v>
      </c>
      <c r="G425" s="7">
        <v>10.9036686690461</v>
      </c>
      <c r="H425" s="7">
        <v>8.5621159750769493</v>
      </c>
    </row>
    <row r="426" spans="1:8" x14ac:dyDescent="0.25">
      <c r="A426" s="7">
        <v>9</v>
      </c>
      <c r="B426" s="7">
        <v>25</v>
      </c>
      <c r="C426" s="7">
        <v>56.06</v>
      </c>
      <c r="D426" s="7" t="s">
        <v>29</v>
      </c>
      <c r="E426" s="7">
        <v>94.9643835616438</v>
      </c>
      <c r="F426" s="7">
        <v>34662</v>
      </c>
      <c r="G426" s="7">
        <v>16.347088587983901</v>
      </c>
      <c r="H426" s="7">
        <v>11.225468549508101</v>
      </c>
    </row>
    <row r="427" spans="1:8" x14ac:dyDescent="0.25">
      <c r="A427" s="7">
        <v>9</v>
      </c>
      <c r="B427" s="7">
        <v>26</v>
      </c>
      <c r="C427" s="7">
        <v>390.5</v>
      </c>
      <c r="D427" s="7" t="s">
        <v>28</v>
      </c>
      <c r="E427" s="7">
        <v>55.227397260274003</v>
      </c>
      <c r="F427" s="7">
        <v>20158</v>
      </c>
      <c r="G427" s="7">
        <v>10.8931964810506</v>
      </c>
      <c r="H427" s="7">
        <v>7.3860418164103603</v>
      </c>
    </row>
    <row r="428" spans="1:8" x14ac:dyDescent="0.25">
      <c r="A428" s="7">
        <v>9</v>
      </c>
      <c r="B428" s="7">
        <v>27</v>
      </c>
      <c r="C428" s="7">
        <v>1639.41</v>
      </c>
      <c r="D428" s="7" t="s">
        <v>27</v>
      </c>
      <c r="E428" s="7">
        <v>26.167123287671199</v>
      </c>
      <c r="F428" s="7">
        <v>9551</v>
      </c>
      <c r="G428" s="7">
        <v>6.9711370001608701</v>
      </c>
      <c r="H428" s="7">
        <v>5.0836688858572598</v>
      </c>
    </row>
    <row r="429" spans="1:8" x14ac:dyDescent="0.25">
      <c r="A429" s="7">
        <v>9</v>
      </c>
      <c r="B429" s="7">
        <v>28</v>
      </c>
      <c r="C429" s="7">
        <v>43.52</v>
      </c>
      <c r="D429" s="7" t="s">
        <v>29</v>
      </c>
      <c r="E429" s="7">
        <v>103.761643835616</v>
      </c>
      <c r="F429" s="7">
        <v>37873</v>
      </c>
      <c r="G429" s="7">
        <v>16.070348214471</v>
      </c>
      <c r="H429" s="7">
        <v>10.3974037360782</v>
      </c>
    </row>
    <row r="430" spans="1:8" x14ac:dyDescent="0.25">
      <c r="A430" s="7">
        <v>9</v>
      </c>
      <c r="B430" s="7">
        <v>29</v>
      </c>
      <c r="C430" s="7">
        <v>119.82</v>
      </c>
      <c r="D430" s="7" t="s">
        <v>29</v>
      </c>
      <c r="E430" s="7">
        <v>82.109589041095902</v>
      </c>
      <c r="F430" s="7">
        <v>29970</v>
      </c>
      <c r="G430" s="7">
        <v>17.365564444493899</v>
      </c>
      <c r="H430" s="7">
        <v>11.273010035251501</v>
      </c>
    </row>
    <row r="431" spans="1:8" x14ac:dyDescent="0.25">
      <c r="A431" s="7">
        <v>9</v>
      </c>
      <c r="B431" s="7">
        <v>30</v>
      </c>
      <c r="C431" s="7">
        <v>595.5</v>
      </c>
      <c r="D431" s="7" t="s">
        <v>27</v>
      </c>
      <c r="E431" s="7">
        <v>47.602739726027401</v>
      </c>
      <c r="F431" s="7">
        <v>17375</v>
      </c>
      <c r="G431" s="7">
        <v>10.7423902776435</v>
      </c>
      <c r="H431" s="7">
        <v>7.7522451797293401</v>
      </c>
    </row>
    <row r="432" spans="1:8" x14ac:dyDescent="0.25">
      <c r="A432" s="7">
        <v>9</v>
      </c>
      <c r="B432" s="7">
        <v>31</v>
      </c>
      <c r="C432" s="7">
        <v>198.8</v>
      </c>
      <c r="D432" s="7" t="s">
        <v>28</v>
      </c>
      <c r="E432" s="7">
        <v>68.136986301369902</v>
      </c>
      <c r="F432" s="7">
        <v>24870</v>
      </c>
      <c r="G432" s="7">
        <v>13.5542476809261</v>
      </c>
      <c r="H432" s="7">
        <v>9.7550837961231096</v>
      </c>
    </row>
    <row r="433" spans="1:8" x14ac:dyDescent="0.25">
      <c r="A433" s="7">
        <v>9</v>
      </c>
      <c r="B433" s="7">
        <v>32</v>
      </c>
      <c r="C433" s="7">
        <v>462.3</v>
      </c>
      <c r="D433" s="7" t="s">
        <v>28</v>
      </c>
      <c r="E433" s="7">
        <v>51.4657534246575</v>
      </c>
      <c r="F433" s="7">
        <v>18785</v>
      </c>
      <c r="G433" s="7">
        <v>10.5173167331846</v>
      </c>
      <c r="H433" s="7">
        <v>7.0466039308087103</v>
      </c>
    </row>
    <row r="434" spans="1:8" x14ac:dyDescent="0.25">
      <c r="A434" s="7">
        <v>9</v>
      </c>
      <c r="B434" s="7">
        <v>33</v>
      </c>
      <c r="C434" s="7">
        <v>130.37</v>
      </c>
      <c r="D434" s="7" t="s">
        <v>29</v>
      </c>
      <c r="E434" s="7">
        <v>81.909589041095899</v>
      </c>
      <c r="F434" s="7">
        <v>29897</v>
      </c>
      <c r="G434" s="7">
        <v>15.8391641471108</v>
      </c>
      <c r="H434" s="7">
        <v>10.804378509247901</v>
      </c>
    </row>
    <row r="435" spans="1:8" x14ac:dyDescent="0.25">
      <c r="A435" s="7">
        <v>9</v>
      </c>
      <c r="B435" s="7">
        <v>34</v>
      </c>
      <c r="C435" s="7">
        <v>1384.8</v>
      </c>
      <c r="D435" s="7" t="s">
        <v>27</v>
      </c>
      <c r="E435" s="7">
        <v>30.2465753424658</v>
      </c>
      <c r="F435" s="7">
        <v>11040</v>
      </c>
      <c r="G435" s="7">
        <v>7.12464951233913</v>
      </c>
      <c r="H435" s="7">
        <v>5.4354805795568204</v>
      </c>
    </row>
    <row r="436" spans="1:8" x14ac:dyDescent="0.25">
      <c r="A436" s="7">
        <v>9</v>
      </c>
      <c r="B436" s="7">
        <v>35</v>
      </c>
      <c r="C436" s="7">
        <v>167.93</v>
      </c>
      <c r="D436" s="7" t="s">
        <v>28</v>
      </c>
      <c r="E436" s="7">
        <v>77.416438356164406</v>
      </c>
      <c r="F436" s="7">
        <v>28257</v>
      </c>
      <c r="G436" s="7">
        <v>15.2261342708898</v>
      </c>
      <c r="H436" s="7">
        <v>9.3423299128731703</v>
      </c>
    </row>
    <row r="437" spans="1:8" x14ac:dyDescent="0.25">
      <c r="A437" s="7">
        <v>9</v>
      </c>
      <c r="B437" s="7">
        <v>36</v>
      </c>
      <c r="C437" s="7">
        <v>78.569999999999993</v>
      </c>
      <c r="D437" s="7" t="s">
        <v>29</v>
      </c>
      <c r="E437" s="7">
        <v>90.509589041095893</v>
      </c>
      <c r="F437" s="7">
        <v>33036</v>
      </c>
      <c r="G437" s="7">
        <v>14.2016903094149</v>
      </c>
      <c r="H437" s="7">
        <v>10.1805733173764</v>
      </c>
    </row>
    <row r="438" spans="1:8" x14ac:dyDescent="0.25">
      <c r="A438" s="7">
        <v>9</v>
      </c>
      <c r="B438" s="7">
        <v>37</v>
      </c>
      <c r="C438" s="7">
        <v>1169.73</v>
      </c>
      <c r="D438" s="7" t="s">
        <v>27</v>
      </c>
      <c r="E438" s="7">
        <v>34.4794520547945</v>
      </c>
      <c r="F438" s="7">
        <v>12585</v>
      </c>
      <c r="G438" s="7">
        <v>9.6498355595236998</v>
      </c>
      <c r="H438" s="7">
        <v>6.8832530147611299</v>
      </c>
    </row>
    <row r="439" spans="1:8" x14ac:dyDescent="0.25">
      <c r="A439" s="7">
        <v>9</v>
      </c>
      <c r="B439" s="7">
        <v>38</v>
      </c>
      <c r="C439" s="7">
        <v>66.37</v>
      </c>
      <c r="D439" s="7" t="s">
        <v>29</v>
      </c>
      <c r="E439" s="7">
        <v>94.361643835616405</v>
      </c>
      <c r="F439" s="7">
        <v>34442</v>
      </c>
      <c r="G439" s="7">
        <v>16.013681889076299</v>
      </c>
      <c r="H439" s="7">
        <v>11.0544114360022</v>
      </c>
    </row>
    <row r="440" spans="1:8" x14ac:dyDescent="0.25">
      <c r="A440" s="7">
        <v>9</v>
      </c>
      <c r="B440" s="7">
        <v>39</v>
      </c>
      <c r="C440" s="7">
        <v>503.01</v>
      </c>
      <c r="D440" s="7" t="s">
        <v>27</v>
      </c>
      <c r="E440" s="7">
        <v>52.0109589041096</v>
      </c>
      <c r="F440" s="7">
        <v>18984</v>
      </c>
      <c r="G440" s="7">
        <v>12.092230964112501</v>
      </c>
      <c r="H440" s="7">
        <v>7.83189369731027</v>
      </c>
    </row>
    <row r="441" spans="1:8" x14ac:dyDescent="0.25">
      <c r="A441" s="7">
        <v>9</v>
      </c>
      <c r="B441" s="7">
        <v>40</v>
      </c>
      <c r="C441" s="7">
        <v>1272.73</v>
      </c>
      <c r="D441" s="7" t="s">
        <v>27</v>
      </c>
      <c r="E441" s="7">
        <v>34.0164383561644</v>
      </c>
      <c r="F441" s="7">
        <v>12416</v>
      </c>
      <c r="G441" s="7">
        <v>9.9404041174469207</v>
      </c>
      <c r="H441" s="7">
        <v>6.4009863687911501</v>
      </c>
    </row>
    <row r="442" spans="1:8" x14ac:dyDescent="0.25">
      <c r="A442" s="7">
        <v>9</v>
      </c>
      <c r="B442" s="7">
        <v>41</v>
      </c>
      <c r="C442" s="7">
        <v>2111.73</v>
      </c>
      <c r="D442" s="7" t="s">
        <v>27</v>
      </c>
      <c r="E442" s="7">
        <v>25.9780821917808</v>
      </c>
      <c r="F442" s="7">
        <v>9482</v>
      </c>
      <c r="G442" s="7">
        <v>8.5295571093466105</v>
      </c>
      <c r="H442" s="7">
        <v>5.6912184380124398</v>
      </c>
    </row>
    <row r="443" spans="1:8" x14ac:dyDescent="0.25">
      <c r="A443" s="7">
        <v>9</v>
      </c>
      <c r="B443" s="7">
        <v>42</v>
      </c>
      <c r="C443" s="7">
        <v>704.99</v>
      </c>
      <c r="D443" s="7" t="s">
        <v>27</v>
      </c>
      <c r="E443" s="7">
        <v>42.923287671232899</v>
      </c>
      <c r="F443" s="7">
        <v>15667</v>
      </c>
      <c r="G443" s="7">
        <v>10.882906289554001</v>
      </c>
      <c r="H443" s="7">
        <v>7.3280496617205104</v>
      </c>
    </row>
    <row r="444" spans="1:8" x14ac:dyDescent="0.25">
      <c r="A444" s="7">
        <v>9</v>
      </c>
      <c r="B444" s="7">
        <v>43</v>
      </c>
      <c r="C444" s="7">
        <v>358.9</v>
      </c>
      <c r="D444" s="7" t="s">
        <v>28</v>
      </c>
      <c r="E444" s="7">
        <v>60.646575342465802</v>
      </c>
      <c r="F444" s="7">
        <v>22136</v>
      </c>
      <c r="G444" s="7">
        <v>14.0309704535407</v>
      </c>
      <c r="H444" s="7">
        <v>8.5527422597664398</v>
      </c>
    </row>
    <row r="445" spans="1:8" x14ac:dyDescent="0.25">
      <c r="A445" s="7">
        <v>9</v>
      </c>
      <c r="B445" s="7">
        <v>44</v>
      </c>
      <c r="C445" s="7">
        <v>908.1</v>
      </c>
      <c r="D445" s="7" t="s">
        <v>27</v>
      </c>
      <c r="E445" s="7">
        <v>34.287671232876697</v>
      </c>
      <c r="F445" s="7">
        <v>12515</v>
      </c>
      <c r="G445" s="7">
        <v>7.4702467641725301</v>
      </c>
      <c r="H445" s="7">
        <v>5.5966307966615902</v>
      </c>
    </row>
    <row r="446" spans="1:8" x14ac:dyDescent="0.25">
      <c r="A446" s="7">
        <v>9</v>
      </c>
      <c r="B446" s="7">
        <v>45</v>
      </c>
      <c r="C446" s="7">
        <v>61</v>
      </c>
      <c r="D446" s="7" t="s">
        <v>29</v>
      </c>
      <c r="E446" s="7">
        <v>95.145205479452102</v>
      </c>
      <c r="F446" s="7">
        <v>34728</v>
      </c>
      <c r="G446" s="7">
        <v>13.6932253137656</v>
      </c>
      <c r="H446" s="7">
        <v>9.8425981081110301</v>
      </c>
    </row>
    <row r="447" spans="1:8" x14ac:dyDescent="0.25">
      <c r="A447" s="7">
        <v>9</v>
      </c>
      <c r="B447" s="7">
        <v>46</v>
      </c>
      <c r="C447" s="7">
        <v>216.31</v>
      </c>
      <c r="D447" s="7" t="s">
        <v>28</v>
      </c>
      <c r="E447" s="7">
        <v>68.747945205479496</v>
      </c>
      <c r="F447" s="7">
        <v>25093</v>
      </c>
      <c r="G447" s="7">
        <v>12.2294270824683</v>
      </c>
      <c r="H447" s="7">
        <v>8.5117374683481497</v>
      </c>
    </row>
    <row r="448" spans="1:8" x14ac:dyDescent="0.25">
      <c r="A448" s="7">
        <v>9</v>
      </c>
      <c r="B448" s="7">
        <v>47</v>
      </c>
      <c r="C448" s="7">
        <v>1940.83</v>
      </c>
      <c r="D448" s="7" t="s">
        <v>27</v>
      </c>
      <c r="E448" s="7">
        <v>25.558904109589001</v>
      </c>
      <c r="F448" s="7">
        <v>9329</v>
      </c>
      <c r="G448" s="7">
        <v>7.7307395178336202</v>
      </c>
      <c r="H448" s="7">
        <v>5.0911982355989203</v>
      </c>
    </row>
    <row r="449" spans="1:8" x14ac:dyDescent="0.25">
      <c r="A449" s="7">
        <v>9</v>
      </c>
      <c r="B449" s="7">
        <v>48</v>
      </c>
      <c r="C449" s="7">
        <v>329.86</v>
      </c>
      <c r="D449" s="7" t="s">
        <v>28</v>
      </c>
      <c r="E449" s="7">
        <v>60.115068493150702</v>
      </c>
      <c r="F449" s="7">
        <v>21942</v>
      </c>
      <c r="G449" s="7">
        <v>12.312249813135701</v>
      </c>
      <c r="H449" s="7">
        <v>7.7675786174602397</v>
      </c>
    </row>
    <row r="450" spans="1:8" x14ac:dyDescent="0.25">
      <c r="A450" s="7">
        <v>9</v>
      </c>
      <c r="B450" s="7">
        <v>49</v>
      </c>
      <c r="C450" s="7">
        <v>988.06</v>
      </c>
      <c r="D450" s="7" t="s">
        <v>27</v>
      </c>
      <c r="E450" s="7">
        <v>35.180821917808203</v>
      </c>
      <c r="F450" s="7">
        <v>12841</v>
      </c>
      <c r="G450" s="7">
        <v>8.8096272209767896</v>
      </c>
      <c r="H450" s="7">
        <v>5.6455415859920599</v>
      </c>
    </row>
    <row r="451" spans="1:8" x14ac:dyDescent="0.25">
      <c r="A451" s="7">
        <v>9</v>
      </c>
      <c r="B451" s="7">
        <v>50</v>
      </c>
      <c r="C451" s="7">
        <v>154.34</v>
      </c>
      <c r="D451" s="7" t="s">
        <v>29</v>
      </c>
      <c r="E451" s="7">
        <v>77.120547945205502</v>
      </c>
      <c r="F451" s="7">
        <v>28149</v>
      </c>
      <c r="G451" s="7">
        <v>13.6378663985406</v>
      </c>
      <c r="H451" s="7">
        <v>8.7330331048709997</v>
      </c>
    </row>
    <row r="452" spans="1:8" x14ac:dyDescent="0.25">
      <c r="A452" s="7">
        <v>10</v>
      </c>
      <c r="B452" s="7">
        <v>1</v>
      </c>
      <c r="C452" s="7">
        <v>2297.6799999999998</v>
      </c>
      <c r="D452" s="7" t="s">
        <v>27</v>
      </c>
      <c r="E452" s="7">
        <v>27.616438356164402</v>
      </c>
      <c r="F452" s="7">
        <v>10080</v>
      </c>
      <c r="G452" s="7">
        <v>6.3954994179177804</v>
      </c>
      <c r="H452" s="7">
        <v>4.2881186198619403</v>
      </c>
    </row>
    <row r="453" spans="1:8" x14ac:dyDescent="0.25">
      <c r="A453" s="7">
        <v>10</v>
      </c>
      <c r="B453" s="7">
        <v>2</v>
      </c>
      <c r="C453" s="7">
        <v>235.35</v>
      </c>
      <c r="D453" s="7" t="s">
        <v>28</v>
      </c>
      <c r="E453" s="7">
        <v>73.372602739726005</v>
      </c>
      <c r="F453" s="7">
        <v>26781</v>
      </c>
      <c r="G453" s="7">
        <v>13.4828907172272</v>
      </c>
      <c r="H453" s="7">
        <v>8.2348418666359908</v>
      </c>
    </row>
    <row r="454" spans="1:8" x14ac:dyDescent="0.25">
      <c r="A454" s="7">
        <v>10</v>
      </c>
      <c r="B454" s="7">
        <v>3</v>
      </c>
      <c r="C454" s="7">
        <v>767.06</v>
      </c>
      <c r="D454" s="7" t="s">
        <v>27</v>
      </c>
      <c r="E454" s="7">
        <v>46.117808219178102</v>
      </c>
      <c r="F454" s="7">
        <v>16833</v>
      </c>
      <c r="G454" s="7">
        <v>10.849682005375699</v>
      </c>
      <c r="H454" s="7">
        <v>7.5428066937436</v>
      </c>
    </row>
    <row r="455" spans="1:8" x14ac:dyDescent="0.25">
      <c r="A455" s="7">
        <v>10</v>
      </c>
      <c r="B455" s="7">
        <v>4</v>
      </c>
      <c r="C455" s="7">
        <v>1783.76</v>
      </c>
      <c r="D455" s="7" t="s">
        <v>27</v>
      </c>
      <c r="E455" s="7">
        <v>27.424657534246599</v>
      </c>
      <c r="F455" s="7">
        <v>10010</v>
      </c>
      <c r="G455" s="7">
        <v>8.5964636780918795</v>
      </c>
      <c r="H455" s="7">
        <v>5.9257384189744302</v>
      </c>
    </row>
    <row r="456" spans="1:8" x14ac:dyDescent="0.25">
      <c r="A456" s="7">
        <v>10</v>
      </c>
      <c r="B456" s="7">
        <v>5</v>
      </c>
      <c r="C456" s="7">
        <v>2500</v>
      </c>
      <c r="D456" s="7" t="s">
        <v>27</v>
      </c>
      <c r="E456" s="7">
        <v>23.413698630136999</v>
      </c>
      <c r="F456" s="7">
        <v>8546</v>
      </c>
      <c r="G456" s="7">
        <v>7.7225153409747902</v>
      </c>
      <c r="H456" s="7">
        <v>5.41965169260369</v>
      </c>
    </row>
    <row r="457" spans="1:8" x14ac:dyDescent="0.25">
      <c r="A457" s="7">
        <v>10</v>
      </c>
      <c r="B457" s="7">
        <v>6</v>
      </c>
      <c r="C457" s="7">
        <v>278.63</v>
      </c>
      <c r="D457" s="7" t="s">
        <v>28</v>
      </c>
      <c r="E457" s="7">
        <v>73.531506849315093</v>
      </c>
      <c r="F457" s="7">
        <v>26839</v>
      </c>
      <c r="G457" s="7">
        <v>13.487815456579</v>
      </c>
      <c r="H457" s="7">
        <v>8.4457624309519996</v>
      </c>
    </row>
    <row r="458" spans="1:8" x14ac:dyDescent="0.25">
      <c r="A458" s="7">
        <v>10</v>
      </c>
      <c r="B458" s="7">
        <v>7</v>
      </c>
      <c r="C458" s="7">
        <v>256.08</v>
      </c>
      <c r="D458" s="7" t="s">
        <v>28</v>
      </c>
      <c r="E458" s="7">
        <v>72.868493150684898</v>
      </c>
      <c r="F458" s="7">
        <v>26597</v>
      </c>
      <c r="G458" s="7">
        <v>11.7500648055059</v>
      </c>
      <c r="H458" s="7">
        <v>7.3869520850467998</v>
      </c>
    </row>
    <row r="459" spans="1:8" x14ac:dyDescent="0.25">
      <c r="A459" s="7">
        <v>10</v>
      </c>
      <c r="B459" s="7">
        <v>8</v>
      </c>
      <c r="C459" s="7">
        <v>85.49</v>
      </c>
      <c r="D459" s="7" t="s">
        <v>29</v>
      </c>
      <c r="E459" s="7">
        <v>96.172602739726102</v>
      </c>
      <c r="F459" s="7">
        <v>35103</v>
      </c>
      <c r="G459" s="7">
        <v>17.504145983524001</v>
      </c>
      <c r="H459" s="7">
        <v>11.007595843482999</v>
      </c>
    </row>
    <row r="460" spans="1:8" x14ac:dyDescent="0.25">
      <c r="A460" s="7">
        <v>10</v>
      </c>
      <c r="B460" s="7">
        <v>9</v>
      </c>
      <c r="C460" s="7">
        <v>303.16000000000003</v>
      </c>
      <c r="D460" s="7" t="s">
        <v>28</v>
      </c>
      <c r="E460" s="7">
        <v>64.435616438356206</v>
      </c>
      <c r="F460" s="7">
        <v>23519</v>
      </c>
      <c r="G460" s="7">
        <v>13.2191414226576</v>
      </c>
      <c r="H460" s="7">
        <v>9.4437934667315897</v>
      </c>
    </row>
    <row r="461" spans="1:8" x14ac:dyDescent="0.25">
      <c r="A461" s="7">
        <v>10</v>
      </c>
      <c r="B461" s="7">
        <v>10</v>
      </c>
      <c r="C461" s="7">
        <v>93.02</v>
      </c>
      <c r="D461" s="7" t="s">
        <v>29</v>
      </c>
      <c r="E461" s="7">
        <v>91.9534246575342</v>
      </c>
      <c r="F461" s="7">
        <v>33563</v>
      </c>
      <c r="G461" s="7">
        <v>15.0241563731637</v>
      </c>
      <c r="H461" s="7">
        <v>10.4999696861624</v>
      </c>
    </row>
    <row r="462" spans="1:8" x14ac:dyDescent="0.25">
      <c r="A462" s="7">
        <v>10</v>
      </c>
      <c r="B462" s="7">
        <v>11</v>
      </c>
      <c r="C462" s="7">
        <v>101.21</v>
      </c>
      <c r="D462" s="7" t="s">
        <v>29</v>
      </c>
      <c r="E462" s="7">
        <v>86.827397260273997</v>
      </c>
      <c r="F462" s="7">
        <v>31692</v>
      </c>
      <c r="G462" s="7">
        <v>13.352774387779199</v>
      </c>
      <c r="H462" s="7">
        <v>9.8973028278587698</v>
      </c>
    </row>
    <row r="463" spans="1:8" x14ac:dyDescent="0.25">
      <c r="A463" s="7">
        <v>10</v>
      </c>
      <c r="B463" s="7">
        <v>12</v>
      </c>
      <c r="C463" s="7">
        <v>110.12</v>
      </c>
      <c r="D463" s="7" t="s">
        <v>29</v>
      </c>
      <c r="E463" s="7">
        <v>87.293150684931504</v>
      </c>
      <c r="F463" s="7">
        <v>31862</v>
      </c>
      <c r="G463" s="7">
        <v>18.524476647648601</v>
      </c>
      <c r="H463" s="7">
        <v>11.104925147445799</v>
      </c>
    </row>
    <row r="464" spans="1:8" x14ac:dyDescent="0.25">
      <c r="A464" s="7">
        <v>10</v>
      </c>
      <c r="B464" s="7">
        <v>13</v>
      </c>
      <c r="C464" s="7">
        <v>47.35</v>
      </c>
      <c r="D464" s="7" t="s">
        <v>29</v>
      </c>
      <c r="E464" s="7">
        <v>105.54246575342501</v>
      </c>
      <c r="F464" s="7">
        <v>38523</v>
      </c>
      <c r="G464" s="7">
        <v>17.376782787060101</v>
      </c>
      <c r="H464" s="7">
        <v>9.9363845779919302</v>
      </c>
    </row>
    <row r="465" spans="1:8" x14ac:dyDescent="0.25">
      <c r="A465" s="7">
        <v>10</v>
      </c>
      <c r="B465" s="7">
        <v>14</v>
      </c>
      <c r="C465" s="7">
        <v>182.71</v>
      </c>
      <c r="D465" s="7" t="s">
        <v>28</v>
      </c>
      <c r="E465" s="7">
        <v>73.624657534246595</v>
      </c>
      <c r="F465" s="7">
        <v>26873</v>
      </c>
      <c r="G465" s="7">
        <v>12.585090223706899</v>
      </c>
      <c r="H465" s="7">
        <v>8.44644494072028</v>
      </c>
    </row>
    <row r="466" spans="1:8" x14ac:dyDescent="0.25">
      <c r="A466" s="7">
        <v>10</v>
      </c>
      <c r="B466" s="7">
        <v>15</v>
      </c>
      <c r="C466" s="7">
        <v>40</v>
      </c>
      <c r="D466" s="7" t="s">
        <v>29</v>
      </c>
      <c r="E466" s="7">
        <v>109.824657534247</v>
      </c>
      <c r="F466" s="7">
        <v>40086</v>
      </c>
      <c r="G466" s="7">
        <v>17.694519897425401</v>
      </c>
      <c r="H466" s="7">
        <v>11.4708824386214</v>
      </c>
    </row>
    <row r="467" spans="1:8" x14ac:dyDescent="0.25">
      <c r="A467" s="7">
        <v>10</v>
      </c>
      <c r="B467" s="7">
        <v>16</v>
      </c>
      <c r="C467" s="7">
        <v>1506.73</v>
      </c>
      <c r="D467" s="7" t="s">
        <v>27</v>
      </c>
      <c r="E467" s="7">
        <v>32.254794520548003</v>
      </c>
      <c r="F467" s="7">
        <v>11773</v>
      </c>
      <c r="G467" s="7">
        <v>8.5706849892468995</v>
      </c>
      <c r="H467" s="7">
        <v>5.7191560224667803</v>
      </c>
    </row>
    <row r="468" spans="1:8" x14ac:dyDescent="0.25">
      <c r="A468" s="7">
        <v>10</v>
      </c>
      <c r="B468" s="7">
        <v>17</v>
      </c>
      <c r="C468" s="7">
        <v>834.61</v>
      </c>
      <c r="D468" s="7" t="s">
        <v>27</v>
      </c>
      <c r="E468" s="7">
        <v>41.273972602739697</v>
      </c>
      <c r="F468" s="7">
        <v>15065</v>
      </c>
      <c r="G468" s="7">
        <v>8.2467037240627299</v>
      </c>
      <c r="H468" s="7">
        <v>5.6997351820397499</v>
      </c>
    </row>
    <row r="469" spans="1:8" x14ac:dyDescent="0.25">
      <c r="A469" s="7">
        <v>10</v>
      </c>
      <c r="B469" s="7">
        <v>18</v>
      </c>
      <c r="C469" s="7">
        <v>51.52</v>
      </c>
      <c r="D469" s="7" t="s">
        <v>29</v>
      </c>
      <c r="E469" s="7">
        <v>105.191780821918</v>
      </c>
      <c r="F469" s="7">
        <v>38395</v>
      </c>
      <c r="G469" s="7">
        <v>15.137666559850301</v>
      </c>
      <c r="H469" s="7">
        <v>9.08068184652066</v>
      </c>
    </row>
    <row r="470" spans="1:8" x14ac:dyDescent="0.25">
      <c r="A470" s="7">
        <v>10</v>
      </c>
      <c r="B470" s="7">
        <v>19</v>
      </c>
      <c r="C470" s="7">
        <v>547.29999999999995</v>
      </c>
      <c r="D470" s="7" t="s">
        <v>27</v>
      </c>
      <c r="E470" s="7">
        <v>50.841095890410998</v>
      </c>
      <c r="F470" s="7">
        <v>18557</v>
      </c>
      <c r="G470" s="7">
        <v>11.7677801553648</v>
      </c>
      <c r="H470" s="7">
        <v>7.1895240778910399</v>
      </c>
    </row>
    <row r="471" spans="1:8" x14ac:dyDescent="0.25">
      <c r="A471" s="7">
        <v>10</v>
      </c>
      <c r="B471" s="7">
        <v>20</v>
      </c>
      <c r="C471" s="7">
        <v>424.89</v>
      </c>
      <c r="D471" s="7" t="s">
        <v>28</v>
      </c>
      <c r="E471" s="7">
        <v>59.9561643835616</v>
      </c>
      <c r="F471" s="7">
        <v>21884</v>
      </c>
      <c r="G471" s="7">
        <v>11.8140301813419</v>
      </c>
      <c r="H471" s="7">
        <v>7.7426681077826096</v>
      </c>
    </row>
    <row r="472" spans="1:8" x14ac:dyDescent="0.25">
      <c r="A472" s="7">
        <v>10</v>
      </c>
      <c r="B472" s="7">
        <v>21</v>
      </c>
      <c r="C472" s="7">
        <v>647.92999999999995</v>
      </c>
      <c r="D472" s="7" t="s">
        <v>27</v>
      </c>
      <c r="E472" s="7">
        <v>50.758904109588997</v>
      </c>
      <c r="F472" s="7">
        <v>18527</v>
      </c>
      <c r="G472" s="7">
        <v>10.0916014808907</v>
      </c>
      <c r="H472" s="7">
        <v>7.0092944722503896</v>
      </c>
    </row>
    <row r="473" spans="1:8" x14ac:dyDescent="0.25">
      <c r="A473" s="7">
        <v>10</v>
      </c>
      <c r="B473" s="7">
        <v>22</v>
      </c>
      <c r="C473" s="7">
        <v>72.209999999999994</v>
      </c>
      <c r="D473" s="7" t="s">
        <v>29</v>
      </c>
      <c r="E473" s="7">
        <v>100.786301369863</v>
      </c>
      <c r="F473" s="7">
        <v>36787</v>
      </c>
      <c r="G473" s="7">
        <v>15.7461346017769</v>
      </c>
      <c r="H473" s="7">
        <v>10.349541960066199</v>
      </c>
    </row>
    <row r="474" spans="1:8" x14ac:dyDescent="0.25">
      <c r="A474" s="7">
        <v>10</v>
      </c>
      <c r="B474" s="7">
        <v>23</v>
      </c>
      <c r="C474" s="7">
        <v>1075.06</v>
      </c>
      <c r="D474" s="7" t="s">
        <v>27</v>
      </c>
      <c r="E474" s="7">
        <v>37.0109589041096</v>
      </c>
      <c r="F474" s="7">
        <v>13509</v>
      </c>
      <c r="G474" s="7">
        <v>8.3843627913577699</v>
      </c>
      <c r="H474" s="7">
        <v>6.0612522365837904</v>
      </c>
    </row>
    <row r="475" spans="1:8" x14ac:dyDescent="0.25">
      <c r="A475" s="7">
        <v>10</v>
      </c>
      <c r="B475" s="7">
        <v>24</v>
      </c>
      <c r="C475" s="7">
        <v>141.85</v>
      </c>
      <c r="D475" s="7" t="s">
        <v>29</v>
      </c>
      <c r="E475" s="7">
        <v>82.301369863013704</v>
      </c>
      <c r="F475" s="7">
        <v>30040</v>
      </c>
      <c r="G475" s="7">
        <v>14.108260008866599</v>
      </c>
      <c r="H475" s="7">
        <v>9.5525170920389098</v>
      </c>
    </row>
    <row r="476" spans="1:8" x14ac:dyDescent="0.25">
      <c r="A476" s="7">
        <v>10</v>
      </c>
      <c r="B476" s="7">
        <v>25</v>
      </c>
      <c r="C476" s="7">
        <v>56.06</v>
      </c>
      <c r="D476" s="7" t="s">
        <v>29</v>
      </c>
      <c r="E476" s="7">
        <v>100.276712328767</v>
      </c>
      <c r="F476" s="7">
        <v>36601</v>
      </c>
      <c r="G476" s="7">
        <v>17.604944360436502</v>
      </c>
      <c r="H476" s="7">
        <v>11.211811858531799</v>
      </c>
    </row>
    <row r="477" spans="1:8" x14ac:dyDescent="0.25">
      <c r="A477" s="7">
        <v>10</v>
      </c>
      <c r="B477" s="7">
        <v>26</v>
      </c>
      <c r="C477" s="7">
        <v>390.5</v>
      </c>
      <c r="D477" s="7" t="s">
        <v>28</v>
      </c>
      <c r="E477" s="7">
        <v>60.364383561643798</v>
      </c>
      <c r="F477" s="7">
        <v>22033</v>
      </c>
      <c r="G477" s="7">
        <v>12.966880520940199</v>
      </c>
      <c r="H477" s="7">
        <v>8.4186502269348509</v>
      </c>
    </row>
    <row r="478" spans="1:8" x14ac:dyDescent="0.25">
      <c r="A478" s="7">
        <v>10</v>
      </c>
      <c r="B478" s="7">
        <v>27</v>
      </c>
      <c r="C478" s="7">
        <v>1639.41</v>
      </c>
      <c r="D478" s="7" t="s">
        <v>27</v>
      </c>
      <c r="E478" s="7">
        <v>27.205479452054799</v>
      </c>
      <c r="F478" s="7">
        <v>9930</v>
      </c>
      <c r="G478" s="7">
        <v>6.8860078880651798</v>
      </c>
      <c r="H478" s="7">
        <v>4.9974254861546701</v>
      </c>
    </row>
    <row r="479" spans="1:8" x14ac:dyDescent="0.25">
      <c r="A479" s="7">
        <v>10</v>
      </c>
      <c r="B479" s="7">
        <v>28</v>
      </c>
      <c r="C479" s="7">
        <v>43.52</v>
      </c>
      <c r="D479" s="7" t="s">
        <v>29</v>
      </c>
      <c r="E479" s="7">
        <v>110.34794520547899</v>
      </c>
      <c r="F479" s="7">
        <v>40277</v>
      </c>
      <c r="G479" s="7">
        <v>14.9839339027859</v>
      </c>
      <c r="H479" s="7">
        <v>10.271813768161699</v>
      </c>
    </row>
    <row r="480" spans="1:8" x14ac:dyDescent="0.25">
      <c r="A480" s="7">
        <v>10</v>
      </c>
      <c r="B480" s="7">
        <v>29</v>
      </c>
      <c r="C480" s="7">
        <v>119.82</v>
      </c>
      <c r="D480" s="7" t="s">
        <v>29</v>
      </c>
      <c r="E480" s="7">
        <v>87.134246575342502</v>
      </c>
      <c r="F480" s="7">
        <v>31804</v>
      </c>
      <c r="G480" s="7">
        <v>16.429103213313098</v>
      </c>
      <c r="H480" s="7">
        <v>10.8902178281781</v>
      </c>
    </row>
    <row r="481" spans="1:8" x14ac:dyDescent="0.25">
      <c r="A481" s="7">
        <v>10</v>
      </c>
      <c r="B481" s="7">
        <v>30</v>
      </c>
      <c r="C481" s="7">
        <v>595.5</v>
      </c>
      <c r="D481" s="7" t="s">
        <v>27</v>
      </c>
      <c r="E481" s="7">
        <v>50.769863013698597</v>
      </c>
      <c r="F481" s="7">
        <v>18531</v>
      </c>
      <c r="G481" s="7">
        <v>11.107147658016901</v>
      </c>
      <c r="H481" s="7">
        <v>7.0643927490128604</v>
      </c>
    </row>
    <row r="482" spans="1:8" x14ac:dyDescent="0.25">
      <c r="A482" s="7">
        <v>10</v>
      </c>
      <c r="B482" s="7">
        <v>31</v>
      </c>
      <c r="C482" s="7">
        <v>198.8</v>
      </c>
      <c r="D482" s="7" t="s">
        <v>28</v>
      </c>
      <c r="E482" s="7">
        <v>73.701369863013696</v>
      </c>
      <c r="F482" s="7">
        <v>26901</v>
      </c>
      <c r="G482" s="7">
        <v>12.227224407951599</v>
      </c>
      <c r="H482" s="7">
        <v>8.0246074322784793</v>
      </c>
    </row>
    <row r="483" spans="1:8" x14ac:dyDescent="0.25">
      <c r="A483" s="7">
        <v>10</v>
      </c>
      <c r="B483" s="7">
        <v>32</v>
      </c>
      <c r="C483" s="7">
        <v>462.3</v>
      </c>
      <c r="D483" s="7" t="s">
        <v>28</v>
      </c>
      <c r="E483" s="7">
        <v>55.0054794520548</v>
      </c>
      <c r="F483" s="7">
        <v>20077</v>
      </c>
      <c r="G483" s="7">
        <v>10.169484674160399</v>
      </c>
      <c r="H483" s="7">
        <v>7.0329630437710504</v>
      </c>
    </row>
    <row r="484" spans="1:8" x14ac:dyDescent="0.25">
      <c r="A484" s="7">
        <v>10</v>
      </c>
      <c r="B484" s="7">
        <v>33</v>
      </c>
      <c r="C484" s="7">
        <v>130.37</v>
      </c>
      <c r="D484" s="7" t="s">
        <v>29</v>
      </c>
      <c r="E484" s="7">
        <v>87.9835616438356</v>
      </c>
      <c r="F484" s="7">
        <v>32114</v>
      </c>
      <c r="G484" s="7">
        <v>14.2755751166673</v>
      </c>
      <c r="H484" s="7">
        <v>9.3660803522211697</v>
      </c>
    </row>
    <row r="485" spans="1:8" x14ac:dyDescent="0.25">
      <c r="A485" s="7">
        <v>10</v>
      </c>
      <c r="B485" s="7">
        <v>34</v>
      </c>
      <c r="C485" s="7">
        <v>1384.8</v>
      </c>
      <c r="D485" s="7" t="s">
        <v>27</v>
      </c>
      <c r="E485" s="7">
        <v>32.279452054794497</v>
      </c>
      <c r="F485" s="7">
        <v>11782</v>
      </c>
      <c r="G485" s="7">
        <v>6.9331236492359496</v>
      </c>
      <c r="H485" s="7">
        <v>4.6066062143853799</v>
      </c>
    </row>
    <row r="486" spans="1:8" x14ac:dyDescent="0.25">
      <c r="A486" s="7">
        <v>10</v>
      </c>
      <c r="B486" s="7">
        <v>35</v>
      </c>
      <c r="C486" s="7">
        <v>167.93</v>
      </c>
      <c r="D486" s="7" t="s">
        <v>28</v>
      </c>
      <c r="E486" s="7">
        <v>82.0328767123288</v>
      </c>
      <c r="F486" s="7">
        <v>29942</v>
      </c>
      <c r="G486" s="7">
        <v>12.0915592486867</v>
      </c>
      <c r="H486" s="7">
        <v>8.8805738004551493</v>
      </c>
    </row>
    <row r="487" spans="1:8" x14ac:dyDescent="0.25">
      <c r="A487" s="7">
        <v>10</v>
      </c>
      <c r="B487" s="7">
        <v>36</v>
      </c>
      <c r="C487" s="7">
        <v>78.569999999999993</v>
      </c>
      <c r="D487" s="7" t="s">
        <v>29</v>
      </c>
      <c r="E487" s="7">
        <v>95.920547945205499</v>
      </c>
      <c r="F487" s="7">
        <v>35011</v>
      </c>
      <c r="G487" s="7">
        <v>14.6441913787387</v>
      </c>
      <c r="H487" s="7">
        <v>9.4567327510596506</v>
      </c>
    </row>
    <row r="488" spans="1:8" x14ac:dyDescent="0.25">
      <c r="A488" s="7">
        <v>10</v>
      </c>
      <c r="B488" s="7">
        <v>37</v>
      </c>
      <c r="C488" s="7">
        <v>1169.73</v>
      </c>
      <c r="D488" s="7" t="s">
        <v>27</v>
      </c>
      <c r="E488" s="7">
        <v>36.5342465753425</v>
      </c>
      <c r="F488" s="7">
        <v>13335</v>
      </c>
      <c r="G488" s="7">
        <v>7.5644309991024103</v>
      </c>
      <c r="H488" s="7">
        <v>5.7280817257449996</v>
      </c>
    </row>
    <row r="489" spans="1:8" x14ac:dyDescent="0.25">
      <c r="A489" s="7">
        <v>10</v>
      </c>
      <c r="B489" s="7">
        <v>38</v>
      </c>
      <c r="C489" s="7">
        <v>66.37</v>
      </c>
      <c r="D489" s="7" t="s">
        <v>29</v>
      </c>
      <c r="E489" s="7">
        <v>100.254794520548</v>
      </c>
      <c r="F489" s="7">
        <v>36593</v>
      </c>
      <c r="G489" s="7">
        <v>16.3806546897546</v>
      </c>
      <c r="H489" s="7">
        <v>10.7318919100356</v>
      </c>
    </row>
    <row r="490" spans="1:8" x14ac:dyDescent="0.25">
      <c r="A490" s="7">
        <v>10</v>
      </c>
      <c r="B490" s="7">
        <v>39</v>
      </c>
      <c r="C490" s="7">
        <v>503.01</v>
      </c>
      <c r="D490" s="7" t="s">
        <v>27</v>
      </c>
      <c r="E490" s="7">
        <v>54.589041095890401</v>
      </c>
      <c r="F490" s="7">
        <v>19925</v>
      </c>
      <c r="G490" s="7">
        <v>11.895608202420499</v>
      </c>
      <c r="H490" s="7">
        <v>7.8224300421987696</v>
      </c>
    </row>
    <row r="491" spans="1:8" x14ac:dyDescent="0.25">
      <c r="A491" s="7">
        <v>10</v>
      </c>
      <c r="B491" s="7">
        <v>40</v>
      </c>
      <c r="C491" s="7">
        <v>1272.73</v>
      </c>
      <c r="D491" s="7" t="s">
        <v>27</v>
      </c>
      <c r="E491" s="7">
        <v>36.5287671232877</v>
      </c>
      <c r="F491" s="7">
        <v>13333</v>
      </c>
      <c r="G491" s="7">
        <v>9.3599963553718997</v>
      </c>
      <c r="H491" s="7">
        <v>6.1004792779745296</v>
      </c>
    </row>
    <row r="492" spans="1:8" x14ac:dyDescent="0.25">
      <c r="A492" s="7">
        <v>10</v>
      </c>
      <c r="B492" s="7">
        <v>41</v>
      </c>
      <c r="C492" s="7">
        <v>2111.73</v>
      </c>
      <c r="D492" s="7" t="s">
        <v>27</v>
      </c>
      <c r="E492" s="7">
        <v>27.424657534246599</v>
      </c>
      <c r="F492" s="7">
        <v>10010</v>
      </c>
      <c r="G492" s="7">
        <v>6.4772747656611704</v>
      </c>
      <c r="H492" s="7">
        <v>4.9352726087315499</v>
      </c>
    </row>
    <row r="493" spans="1:8" x14ac:dyDescent="0.25">
      <c r="A493" s="7">
        <v>10</v>
      </c>
      <c r="B493" s="7">
        <v>42</v>
      </c>
      <c r="C493" s="7">
        <v>704.99</v>
      </c>
      <c r="D493" s="7" t="s">
        <v>27</v>
      </c>
      <c r="E493" s="7">
        <v>46.304109589041097</v>
      </c>
      <c r="F493" s="7">
        <v>16901</v>
      </c>
      <c r="G493" s="7">
        <v>9.5240974833039402</v>
      </c>
      <c r="H493" s="7">
        <v>6.5575229782605602</v>
      </c>
    </row>
    <row r="494" spans="1:8" x14ac:dyDescent="0.25">
      <c r="A494" s="7">
        <v>10</v>
      </c>
      <c r="B494" s="7">
        <v>43</v>
      </c>
      <c r="C494" s="7">
        <v>358.9</v>
      </c>
      <c r="D494" s="7" t="s">
        <v>28</v>
      </c>
      <c r="E494" s="7">
        <v>64.9972602739726</v>
      </c>
      <c r="F494" s="7">
        <v>23724</v>
      </c>
      <c r="G494" s="7">
        <v>12.3212106242452</v>
      </c>
      <c r="H494" s="7">
        <v>8.8355148961942902</v>
      </c>
    </row>
    <row r="495" spans="1:8" x14ac:dyDescent="0.25">
      <c r="A495" s="7">
        <v>10</v>
      </c>
      <c r="B495" s="7">
        <v>44</v>
      </c>
      <c r="C495" s="7">
        <v>908.1</v>
      </c>
      <c r="D495" s="7" t="s">
        <v>27</v>
      </c>
      <c r="E495" s="7">
        <v>36.610958904109602</v>
      </c>
      <c r="F495" s="7">
        <v>13363</v>
      </c>
      <c r="G495" s="7">
        <v>7.9325498039872198</v>
      </c>
      <c r="H495" s="7">
        <v>5.1554890992384204</v>
      </c>
    </row>
    <row r="496" spans="1:8" x14ac:dyDescent="0.25">
      <c r="A496" s="7">
        <v>10</v>
      </c>
      <c r="B496" s="7">
        <v>45</v>
      </c>
      <c r="C496" s="7">
        <v>61</v>
      </c>
      <c r="D496" s="7" t="s">
        <v>29</v>
      </c>
      <c r="E496" s="7">
        <v>102.21095890411</v>
      </c>
      <c r="F496" s="7">
        <v>37307</v>
      </c>
      <c r="G496" s="7">
        <v>16.6938188606136</v>
      </c>
      <c r="H496" s="7">
        <v>9.83324928102064</v>
      </c>
    </row>
    <row r="497" spans="1:8" x14ac:dyDescent="0.25">
      <c r="A497" s="7">
        <v>10</v>
      </c>
      <c r="B497" s="7">
        <v>46</v>
      </c>
      <c r="C497" s="7">
        <v>216.31</v>
      </c>
      <c r="D497" s="7" t="s">
        <v>28</v>
      </c>
      <c r="E497" s="7">
        <v>73.884931506849298</v>
      </c>
      <c r="F497" s="7">
        <v>26968</v>
      </c>
      <c r="G497" s="7">
        <v>14.988257866252001</v>
      </c>
      <c r="H497" s="7">
        <v>9.3947155338246002</v>
      </c>
    </row>
    <row r="498" spans="1:8" x14ac:dyDescent="0.25">
      <c r="A498" s="7">
        <v>10</v>
      </c>
      <c r="B498" s="7">
        <v>47</v>
      </c>
      <c r="C498" s="7">
        <v>1940.83</v>
      </c>
      <c r="D498" s="7" t="s">
        <v>27</v>
      </c>
      <c r="E498" s="7">
        <v>27.972602739726</v>
      </c>
      <c r="F498" s="7">
        <v>10210</v>
      </c>
      <c r="G498" s="7">
        <v>8.5638254621184497</v>
      </c>
      <c r="H498" s="7">
        <v>5.34000918261839</v>
      </c>
    </row>
    <row r="499" spans="1:8" x14ac:dyDescent="0.25">
      <c r="A499" s="7">
        <v>10</v>
      </c>
      <c r="B499" s="7">
        <v>48</v>
      </c>
      <c r="C499" s="7">
        <v>329.86</v>
      </c>
      <c r="D499" s="7" t="s">
        <v>28</v>
      </c>
      <c r="E499" s="7">
        <v>64.526027397260293</v>
      </c>
      <c r="F499" s="7">
        <v>23552</v>
      </c>
      <c r="G499" s="7">
        <v>12.331869766770099</v>
      </c>
      <c r="H499" s="7">
        <v>8.3904101179750903</v>
      </c>
    </row>
    <row r="500" spans="1:8" x14ac:dyDescent="0.25">
      <c r="A500" s="7">
        <v>10</v>
      </c>
      <c r="B500" s="7">
        <v>49</v>
      </c>
      <c r="C500" s="7">
        <v>988.06</v>
      </c>
      <c r="D500" s="7" t="s">
        <v>27</v>
      </c>
      <c r="E500" s="7">
        <v>36.5123287671233</v>
      </c>
      <c r="F500" s="7">
        <v>13327</v>
      </c>
      <c r="G500" s="7">
        <v>9.1339961315986606</v>
      </c>
      <c r="H500" s="7">
        <v>6.6112781011637098</v>
      </c>
    </row>
    <row r="501" spans="1:8" x14ac:dyDescent="0.25">
      <c r="A501" s="7">
        <v>10</v>
      </c>
      <c r="B501" s="7">
        <v>50</v>
      </c>
      <c r="C501" s="7">
        <v>154.34</v>
      </c>
      <c r="D501" s="7" t="s">
        <v>29</v>
      </c>
      <c r="E501" s="7">
        <v>82.712328767123296</v>
      </c>
      <c r="F501" s="7">
        <v>30190</v>
      </c>
      <c r="G501" s="7">
        <v>12.4748768074752</v>
      </c>
      <c r="H501" s="7">
        <v>9.3738700630226006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7"/>
  <sheetViews>
    <sheetView zoomScaleNormal="100" workbookViewId="0"/>
  </sheetViews>
  <sheetFormatPr defaultColWidth="8.7109375" defaultRowHeight="15" x14ac:dyDescent="0.25"/>
  <cols>
    <col min="1" max="15" width="15" customWidth="1"/>
  </cols>
  <sheetData>
    <row r="1" spans="1:15" ht="16.5" x14ac:dyDescent="0.25">
      <c r="A1" s="1" t="s">
        <v>30</v>
      </c>
    </row>
    <row r="2" spans="1:15" x14ac:dyDescent="0.25">
      <c r="A2" s="8" t="s">
        <v>31</v>
      </c>
    </row>
    <row r="4" spans="1:15" x14ac:dyDescent="0.25">
      <c r="A4" s="5" t="s">
        <v>32</v>
      </c>
    </row>
    <row r="5" spans="1:15" x14ac:dyDescent="0.25">
      <c r="A5" s="4" t="s">
        <v>33</v>
      </c>
      <c r="B5" s="6">
        <v>750</v>
      </c>
    </row>
    <row r="6" spans="1:15" x14ac:dyDescent="0.25">
      <c r="A6" s="4" t="s">
        <v>34</v>
      </c>
      <c r="B6" s="6">
        <v>0.2</v>
      </c>
    </row>
    <row r="7" spans="1:15" x14ac:dyDescent="0.25">
      <c r="A7" s="4" t="s">
        <v>35</v>
      </c>
      <c r="B7" s="6">
        <v>7</v>
      </c>
    </row>
    <row r="8" spans="1:15" x14ac:dyDescent="0.25">
      <c r="A8" s="4" t="s">
        <v>36</v>
      </c>
      <c r="B8" s="6">
        <v>0.95</v>
      </c>
    </row>
    <row r="9" spans="1:15" x14ac:dyDescent="0.25">
      <c r="A9" s="4" t="s">
        <v>37</v>
      </c>
      <c r="B9" s="4">
        <f>NORMSINV(B8)</f>
        <v>1.6448536269514715</v>
      </c>
    </row>
    <row r="12" spans="1:15" x14ac:dyDescent="0.25">
      <c r="A12" s="3" t="s">
        <v>19</v>
      </c>
      <c r="B12" s="3" t="s">
        <v>20</v>
      </c>
      <c r="C12" s="3" t="s">
        <v>38</v>
      </c>
      <c r="D12" s="3" t="s">
        <v>24</v>
      </c>
      <c r="E12" s="3" t="s">
        <v>39</v>
      </c>
      <c r="F12" s="3" t="s">
        <v>40</v>
      </c>
      <c r="G12" s="3" t="s">
        <v>25</v>
      </c>
      <c r="H12" s="3" t="s">
        <v>26</v>
      </c>
      <c r="I12" s="3" t="s">
        <v>41</v>
      </c>
      <c r="J12" s="3" t="s">
        <v>42</v>
      </c>
      <c r="K12" s="3" t="s">
        <v>43</v>
      </c>
      <c r="L12" s="3" t="s">
        <v>44</v>
      </c>
      <c r="M12" s="3" t="s">
        <v>45</v>
      </c>
      <c r="N12" s="3" t="s">
        <v>46</v>
      </c>
      <c r="O12" s="3" t="s">
        <v>47</v>
      </c>
    </row>
    <row r="13" spans="1:15" x14ac:dyDescent="0.25">
      <c r="A13" s="4">
        <f>'Data - SKU Detail'!A2</f>
        <v>1</v>
      </c>
      <c r="B13" s="4">
        <f>'Data - SKU Detail'!B2</f>
        <v>1</v>
      </c>
      <c r="C13" s="4">
        <f>'Data - SKU Detail'!C2</f>
        <v>2297.6799999999998</v>
      </c>
      <c r="D13" s="4">
        <f>'Data - SKU Detail'!F2</f>
        <v>8093</v>
      </c>
      <c r="E13" s="4">
        <f t="shared" ref="E13:E76" si="0">C13*$B$6</f>
        <v>459.536</v>
      </c>
      <c r="F13" s="4">
        <f t="shared" ref="F13:F76" si="1">SQRT(2*D13*$B$5/E13)</f>
        <v>162.5326550793165</v>
      </c>
      <c r="G13" s="4">
        <f>'Data - SKU Detail'!G2</f>
        <v>6.3575857305324801</v>
      </c>
      <c r="H13" s="4">
        <f>'Data - SKU Detail'!H2</f>
        <v>4.7558665877311102</v>
      </c>
      <c r="I13" s="4">
        <f t="shared" ref="I13:I76" si="2">$B$9*G13*SQRT($B$7)</f>
        <v>27.667409754847455</v>
      </c>
      <c r="J13" s="4">
        <f t="shared" ref="J13:J76" si="3">$B$9*H13*SQRT($B$7)</f>
        <v>20.696930438580825</v>
      </c>
      <c r="K13" s="4">
        <f t="shared" ref="K13:K76" si="4">F13/2+I13</f>
        <v>108.9337372945057</v>
      </c>
      <c r="L13" s="4">
        <f t="shared" ref="L13:L76" si="5">F13/2+J13</f>
        <v>101.96325797823907</v>
      </c>
      <c r="M13" s="4">
        <f t="shared" ref="M13:M76" si="6">K13*E13</f>
        <v>50058.973901367972</v>
      </c>
      <c r="N13" s="4">
        <f t="shared" ref="N13:N76" si="7">L13*E13</f>
        <v>46855.787718288069</v>
      </c>
      <c r="O13" s="4">
        <f t="shared" ref="O13:O76" si="8">M13-N13</f>
        <v>3203.1861830799025</v>
      </c>
    </row>
    <row r="14" spans="1:15" x14ac:dyDescent="0.25">
      <c r="A14" s="4">
        <f>'Data - SKU Detail'!A3</f>
        <v>1</v>
      </c>
      <c r="B14" s="4">
        <f>'Data - SKU Detail'!B3</f>
        <v>2</v>
      </c>
      <c r="C14" s="4">
        <f>'Data - SKU Detail'!C3</f>
        <v>235.35</v>
      </c>
      <c r="D14" s="4">
        <f>'Data - SKU Detail'!F3</f>
        <v>21571</v>
      </c>
      <c r="E14" s="4">
        <f t="shared" si="0"/>
        <v>47.07</v>
      </c>
      <c r="F14" s="4">
        <f t="shared" si="1"/>
        <v>829.10334974803732</v>
      </c>
      <c r="G14" s="4">
        <f>'Data - SKU Detail'!G3</f>
        <v>10.5595709637902</v>
      </c>
      <c r="H14" s="4">
        <f>'Data - SKU Detail'!H3</f>
        <v>7.2935315301872503</v>
      </c>
      <c r="I14" s="4">
        <f t="shared" si="2"/>
        <v>45.953918527199065</v>
      </c>
      <c r="J14" s="4">
        <f t="shared" si="3"/>
        <v>31.740527608848936</v>
      </c>
      <c r="K14" s="4">
        <f t="shared" si="4"/>
        <v>460.50559340121771</v>
      </c>
      <c r="L14" s="4">
        <f t="shared" si="5"/>
        <v>446.29220248286759</v>
      </c>
      <c r="M14" s="4">
        <f t="shared" si="6"/>
        <v>21675.998281395317</v>
      </c>
      <c r="N14" s="4">
        <f t="shared" si="7"/>
        <v>21006.973970868577</v>
      </c>
      <c r="O14" s="4">
        <f t="shared" si="8"/>
        <v>669.02431052674001</v>
      </c>
    </row>
    <row r="15" spans="1:15" x14ac:dyDescent="0.25">
      <c r="A15" s="4">
        <f>'Data - SKU Detail'!A4</f>
        <v>1</v>
      </c>
      <c r="B15" s="4">
        <f>'Data - SKU Detail'!B4</f>
        <v>3</v>
      </c>
      <c r="C15" s="4">
        <f>'Data - SKU Detail'!C4</f>
        <v>767.06</v>
      </c>
      <c r="D15" s="4">
        <f>'Data - SKU Detail'!F4</f>
        <v>13558</v>
      </c>
      <c r="E15" s="4">
        <f t="shared" si="0"/>
        <v>153.41200000000001</v>
      </c>
      <c r="F15" s="4">
        <f t="shared" si="1"/>
        <v>364.09421485868523</v>
      </c>
      <c r="G15" s="4">
        <f>'Data - SKU Detail'!G4</f>
        <v>8.5823280358565999</v>
      </c>
      <c r="H15" s="4">
        <f>'Data - SKU Detail'!H4</f>
        <v>5.9251613771182301</v>
      </c>
      <c r="I15" s="4">
        <f t="shared" si="2"/>
        <v>37.349207149216369</v>
      </c>
      <c r="J15" s="4">
        <f t="shared" si="3"/>
        <v>25.785553609922932</v>
      </c>
      <c r="K15" s="4">
        <f t="shared" si="4"/>
        <v>219.39631457855899</v>
      </c>
      <c r="L15" s="4">
        <f t="shared" si="5"/>
        <v>207.83266103926556</v>
      </c>
      <c r="M15" s="4">
        <f t="shared" si="6"/>
        <v>33658.027412125892</v>
      </c>
      <c r="N15" s="4">
        <f t="shared" si="7"/>
        <v>31884.024195355811</v>
      </c>
      <c r="O15" s="4">
        <f t="shared" si="8"/>
        <v>1774.0032167700811</v>
      </c>
    </row>
    <row r="16" spans="1:15" x14ac:dyDescent="0.25">
      <c r="A16" s="4">
        <f>'Data - SKU Detail'!A5</f>
        <v>1</v>
      </c>
      <c r="B16" s="4">
        <f>'Data - SKU Detail'!B5</f>
        <v>4</v>
      </c>
      <c r="C16" s="4">
        <f>'Data - SKU Detail'!C5</f>
        <v>1783.76</v>
      </c>
      <c r="D16" s="4">
        <f>'Data - SKU Detail'!F5</f>
        <v>8085</v>
      </c>
      <c r="E16" s="4">
        <f t="shared" si="0"/>
        <v>356.75200000000001</v>
      </c>
      <c r="F16" s="4">
        <f t="shared" si="1"/>
        <v>184.37516984681918</v>
      </c>
      <c r="G16" s="4">
        <f>'Data - SKU Detail'!G5</f>
        <v>6.5576479970144197</v>
      </c>
      <c r="H16" s="4">
        <f>'Data - SKU Detail'!H5</f>
        <v>4.3318037030920102</v>
      </c>
      <c r="I16" s="4">
        <f t="shared" si="2"/>
        <v>28.538055458712108</v>
      </c>
      <c r="J16" s="4">
        <f t="shared" si="3"/>
        <v>18.851462349210696</v>
      </c>
      <c r="K16" s="4">
        <f t="shared" si="4"/>
        <v>120.7256403821217</v>
      </c>
      <c r="L16" s="4">
        <f t="shared" si="5"/>
        <v>111.03904727262028</v>
      </c>
      <c r="M16" s="4">
        <f t="shared" si="6"/>
        <v>43069.113657602684</v>
      </c>
      <c r="N16" s="4">
        <f t="shared" si="7"/>
        <v>39613.402192601832</v>
      </c>
      <c r="O16" s="4">
        <f t="shared" si="8"/>
        <v>3455.7114650008516</v>
      </c>
    </row>
    <row r="17" spans="1:15" x14ac:dyDescent="0.25">
      <c r="A17" s="4">
        <f>'Data - SKU Detail'!A6</f>
        <v>1</v>
      </c>
      <c r="B17" s="4">
        <f>'Data - SKU Detail'!B6</f>
        <v>5</v>
      </c>
      <c r="C17" s="4">
        <f>'Data - SKU Detail'!C6</f>
        <v>2500</v>
      </c>
      <c r="D17" s="4">
        <f>'Data - SKU Detail'!F6</f>
        <v>6812</v>
      </c>
      <c r="E17" s="4">
        <f t="shared" si="0"/>
        <v>500</v>
      </c>
      <c r="F17" s="4">
        <f t="shared" si="1"/>
        <v>142.95453822806746</v>
      </c>
      <c r="G17" s="4">
        <f>'Data - SKU Detail'!G6</f>
        <v>6.19537765211044</v>
      </c>
      <c r="H17" s="4">
        <f>'Data - SKU Detail'!H6</f>
        <v>4.28673037721141</v>
      </c>
      <c r="I17" s="4">
        <f t="shared" si="2"/>
        <v>26.961500694164901</v>
      </c>
      <c r="J17" s="4">
        <f t="shared" si="3"/>
        <v>18.655308930443052</v>
      </c>
      <c r="K17" s="4">
        <f t="shared" si="4"/>
        <v>98.438769808198629</v>
      </c>
      <c r="L17" s="4">
        <f t="shared" si="5"/>
        <v>90.132578044476787</v>
      </c>
      <c r="M17" s="4">
        <f t="shared" si="6"/>
        <v>49219.384904099315</v>
      </c>
      <c r="N17" s="4">
        <f t="shared" si="7"/>
        <v>45066.289022238394</v>
      </c>
      <c r="O17" s="4">
        <f t="shared" si="8"/>
        <v>4153.0958818609215</v>
      </c>
    </row>
    <row r="18" spans="1:15" x14ac:dyDescent="0.25">
      <c r="A18" s="4">
        <f>'Data - SKU Detail'!A7</f>
        <v>1</v>
      </c>
      <c r="B18" s="4">
        <f>'Data - SKU Detail'!B7</f>
        <v>6</v>
      </c>
      <c r="C18" s="4">
        <f>'Data - SKU Detail'!C7</f>
        <v>278.63</v>
      </c>
      <c r="D18" s="4">
        <f>'Data - SKU Detail'!F7</f>
        <v>21598</v>
      </c>
      <c r="E18" s="4">
        <f t="shared" si="0"/>
        <v>55.725999999999999</v>
      </c>
      <c r="F18" s="4">
        <f t="shared" si="1"/>
        <v>762.47123238683093</v>
      </c>
      <c r="G18" s="4">
        <f>'Data - SKU Detail'!G7</f>
        <v>11.1766213921271</v>
      </c>
      <c r="H18" s="4">
        <f>'Data - SKU Detail'!H7</f>
        <v>7.9856862140163702</v>
      </c>
      <c r="I18" s="4">
        <f t="shared" si="2"/>
        <v>48.639244020839129</v>
      </c>
      <c r="J18" s="4">
        <f t="shared" si="3"/>
        <v>34.752697332218631</v>
      </c>
      <c r="K18" s="4">
        <f t="shared" si="4"/>
        <v>429.87486021425457</v>
      </c>
      <c r="L18" s="4">
        <f t="shared" si="5"/>
        <v>415.98831352563411</v>
      </c>
      <c r="M18" s="4">
        <f t="shared" si="6"/>
        <v>23955.206460299549</v>
      </c>
      <c r="N18" s="4">
        <f t="shared" si="7"/>
        <v>23181.364759529486</v>
      </c>
      <c r="O18" s="4">
        <f t="shared" si="8"/>
        <v>773.84170077006274</v>
      </c>
    </row>
    <row r="19" spans="1:15" x14ac:dyDescent="0.25">
      <c r="A19" s="4">
        <f>'Data - SKU Detail'!A8</f>
        <v>1</v>
      </c>
      <c r="B19" s="4">
        <f>'Data - SKU Detail'!B8</f>
        <v>7</v>
      </c>
      <c r="C19" s="4">
        <f>'Data - SKU Detail'!C8</f>
        <v>256.08</v>
      </c>
      <c r="D19" s="4">
        <f>'Data - SKU Detail'!F8</f>
        <v>21363</v>
      </c>
      <c r="E19" s="4">
        <f t="shared" si="0"/>
        <v>51.216000000000001</v>
      </c>
      <c r="F19" s="4">
        <f t="shared" si="1"/>
        <v>790.99533350045363</v>
      </c>
      <c r="G19" s="4">
        <f>'Data - SKU Detail'!G8</f>
        <v>11.889802992207301</v>
      </c>
      <c r="H19" s="4">
        <f>'Data - SKU Detail'!H8</f>
        <v>8.0424683690104093</v>
      </c>
      <c r="I19" s="4">
        <f t="shared" si="2"/>
        <v>51.742920226772725</v>
      </c>
      <c r="J19" s="4">
        <f t="shared" si="3"/>
        <v>34.999806095760505</v>
      </c>
      <c r="K19" s="4">
        <f t="shared" si="4"/>
        <v>447.24058697699957</v>
      </c>
      <c r="L19" s="4">
        <f t="shared" si="5"/>
        <v>430.49747284598732</v>
      </c>
      <c r="M19" s="4">
        <f t="shared" si="6"/>
        <v>22905.87390261401</v>
      </c>
      <c r="N19" s="4">
        <f t="shared" si="7"/>
        <v>22048.358569280088</v>
      </c>
      <c r="O19" s="4">
        <f t="shared" si="8"/>
        <v>857.51533333392217</v>
      </c>
    </row>
    <row r="20" spans="1:15" x14ac:dyDescent="0.25">
      <c r="A20" s="4">
        <f>'Data - SKU Detail'!A9</f>
        <v>1</v>
      </c>
      <c r="B20" s="4">
        <f>'Data - SKU Detail'!B9</f>
        <v>8</v>
      </c>
      <c r="C20" s="4">
        <f>'Data - SKU Detail'!C9</f>
        <v>85.49</v>
      </c>
      <c r="D20" s="4">
        <f>'Data - SKU Detail'!F9</f>
        <v>28357</v>
      </c>
      <c r="E20" s="4">
        <f t="shared" si="0"/>
        <v>17.097999999999999</v>
      </c>
      <c r="F20" s="4">
        <f t="shared" si="1"/>
        <v>1577.2593651408613</v>
      </c>
      <c r="G20" s="4">
        <f>'Data - SKU Detail'!G9</f>
        <v>15.741203111394301</v>
      </c>
      <c r="H20" s="4">
        <f>'Data - SKU Detail'!H9</f>
        <v>9.5398152412021204</v>
      </c>
      <c r="I20" s="4">
        <f t="shared" si="2"/>
        <v>68.503726882617897</v>
      </c>
      <c r="J20" s="4">
        <f t="shared" si="3"/>
        <v>41.516070478812324</v>
      </c>
      <c r="K20" s="4">
        <f t="shared" si="4"/>
        <v>857.13340945304856</v>
      </c>
      <c r="L20" s="4">
        <f t="shared" si="5"/>
        <v>830.14575304924301</v>
      </c>
      <c r="M20" s="4">
        <f t="shared" si="6"/>
        <v>14655.267034828223</v>
      </c>
      <c r="N20" s="4">
        <f t="shared" si="7"/>
        <v>14193.832085635957</v>
      </c>
      <c r="O20" s="4">
        <f t="shared" si="8"/>
        <v>461.43494919226578</v>
      </c>
    </row>
    <row r="21" spans="1:15" x14ac:dyDescent="0.25">
      <c r="A21" s="4">
        <f>'Data - SKU Detail'!A10</f>
        <v>1</v>
      </c>
      <c r="B21" s="4">
        <f>'Data - SKU Detail'!B10</f>
        <v>9</v>
      </c>
      <c r="C21" s="4">
        <f>'Data - SKU Detail'!C10</f>
        <v>303.16000000000003</v>
      </c>
      <c r="D21" s="4">
        <f>'Data - SKU Detail'!F10</f>
        <v>18889</v>
      </c>
      <c r="E21" s="4">
        <f t="shared" si="0"/>
        <v>60.632000000000005</v>
      </c>
      <c r="F21" s="4">
        <f t="shared" si="1"/>
        <v>683.59545377758764</v>
      </c>
      <c r="G21" s="4">
        <f>'Data - SKU Detail'!G10</f>
        <v>11.682084322725499</v>
      </c>
      <c r="H21" s="4">
        <f>'Data - SKU Detail'!H10</f>
        <v>7.7951993854454704</v>
      </c>
      <c r="I21" s="4">
        <f t="shared" si="2"/>
        <v>50.838954824515639</v>
      </c>
      <c r="J21" s="4">
        <f t="shared" si="3"/>
        <v>33.923722724190647</v>
      </c>
      <c r="K21" s="4">
        <f t="shared" si="4"/>
        <v>392.63668171330949</v>
      </c>
      <c r="L21" s="4">
        <f t="shared" si="5"/>
        <v>375.72144961298449</v>
      </c>
      <c r="M21" s="4">
        <f t="shared" si="6"/>
        <v>23806.347285641383</v>
      </c>
      <c r="N21" s="4">
        <f t="shared" si="7"/>
        <v>22780.742932934478</v>
      </c>
      <c r="O21" s="4">
        <f t="shared" si="8"/>
        <v>1025.604352706905</v>
      </c>
    </row>
    <row r="22" spans="1:15" x14ac:dyDescent="0.25">
      <c r="A22" s="4">
        <f>'Data - SKU Detail'!A11</f>
        <v>1</v>
      </c>
      <c r="B22" s="4">
        <f>'Data - SKU Detail'!B11</f>
        <v>10</v>
      </c>
      <c r="C22" s="4">
        <f>'Data - SKU Detail'!C11</f>
        <v>93.02</v>
      </c>
      <c r="D22" s="4">
        <f>'Data - SKU Detail'!F11</f>
        <v>27110</v>
      </c>
      <c r="E22" s="4">
        <f t="shared" si="0"/>
        <v>18.603999999999999</v>
      </c>
      <c r="F22" s="4">
        <f t="shared" si="1"/>
        <v>1478.451978830858</v>
      </c>
      <c r="G22" s="4">
        <f>'Data - SKU Detail'!G11</f>
        <v>15.405507792009701</v>
      </c>
      <c r="H22" s="4">
        <f>'Data - SKU Detail'!H11</f>
        <v>9.7418377246389891</v>
      </c>
      <c r="I22" s="4">
        <f t="shared" si="2"/>
        <v>67.042823271111232</v>
      </c>
      <c r="J22" s="4">
        <f t="shared" si="3"/>
        <v>42.395246799171836</v>
      </c>
      <c r="K22" s="4">
        <f t="shared" si="4"/>
        <v>806.26881268654029</v>
      </c>
      <c r="L22" s="4">
        <f t="shared" si="5"/>
        <v>781.6212362146008</v>
      </c>
      <c r="M22" s="4">
        <f t="shared" si="6"/>
        <v>14999.824991220396</v>
      </c>
      <c r="N22" s="4">
        <f t="shared" si="7"/>
        <v>14541.281478536433</v>
      </c>
      <c r="O22" s="4">
        <f t="shared" si="8"/>
        <v>458.54351268396204</v>
      </c>
    </row>
    <row r="23" spans="1:15" x14ac:dyDescent="0.25">
      <c r="A23" s="4">
        <f>'Data - SKU Detail'!A12</f>
        <v>1</v>
      </c>
      <c r="B23" s="4">
        <f>'Data - SKU Detail'!B12</f>
        <v>11</v>
      </c>
      <c r="C23" s="4">
        <f>'Data - SKU Detail'!C12</f>
        <v>101.21</v>
      </c>
      <c r="D23" s="4">
        <f>'Data - SKU Detail'!F12</f>
        <v>25902</v>
      </c>
      <c r="E23" s="4">
        <f t="shared" si="0"/>
        <v>20.242000000000001</v>
      </c>
      <c r="F23" s="4">
        <f t="shared" si="1"/>
        <v>1385.433130110617</v>
      </c>
      <c r="G23" s="4">
        <f>'Data - SKU Detail'!G12</f>
        <v>12.698396880133</v>
      </c>
      <c r="H23" s="4">
        <f>'Data - SKU Detail'!H12</f>
        <v>8.9470633882396395</v>
      </c>
      <c r="I23" s="4">
        <f t="shared" si="2"/>
        <v>55.261818653114794</v>
      </c>
      <c r="J23" s="4">
        <f t="shared" si="3"/>
        <v>38.936489314834148</v>
      </c>
      <c r="K23" s="4">
        <f t="shared" si="4"/>
        <v>747.97838370842328</v>
      </c>
      <c r="L23" s="4">
        <f t="shared" si="5"/>
        <v>731.65305437014263</v>
      </c>
      <c r="M23" s="4">
        <f t="shared" si="6"/>
        <v>15140.578443025905</v>
      </c>
      <c r="N23" s="4">
        <f t="shared" si="7"/>
        <v>14810.121126560427</v>
      </c>
      <c r="O23" s="4">
        <f t="shared" si="8"/>
        <v>330.45731646547756</v>
      </c>
    </row>
    <row r="24" spans="1:15" x14ac:dyDescent="0.25">
      <c r="A24" s="4">
        <f>'Data - SKU Detail'!A13</f>
        <v>1</v>
      </c>
      <c r="B24" s="4">
        <f>'Data - SKU Detail'!B13</f>
        <v>12</v>
      </c>
      <c r="C24" s="4">
        <f>'Data - SKU Detail'!C13</f>
        <v>110.12</v>
      </c>
      <c r="D24" s="4">
        <f>'Data - SKU Detail'!F13</f>
        <v>25838</v>
      </c>
      <c r="E24" s="4">
        <f t="shared" si="0"/>
        <v>22.024000000000001</v>
      </c>
      <c r="F24" s="4">
        <f t="shared" si="1"/>
        <v>1326.5602427833353</v>
      </c>
      <c r="G24" s="4">
        <f>'Data - SKU Detail'!G13</f>
        <v>10.6376266980844</v>
      </c>
      <c r="H24" s="4">
        <f>'Data - SKU Detail'!H13</f>
        <v>7.1312889341269603</v>
      </c>
      <c r="I24" s="4">
        <f t="shared" si="2"/>
        <v>46.293607219726105</v>
      </c>
      <c r="J24" s="4">
        <f t="shared" si="3"/>
        <v>31.034468331766362</v>
      </c>
      <c r="K24" s="4">
        <f t="shared" si="4"/>
        <v>709.57372861139379</v>
      </c>
      <c r="L24" s="4">
        <f t="shared" si="5"/>
        <v>694.31458972343398</v>
      </c>
      <c r="M24" s="4">
        <f t="shared" si="6"/>
        <v>15627.651798937337</v>
      </c>
      <c r="N24" s="4">
        <f t="shared" si="7"/>
        <v>15291.58452406891</v>
      </c>
      <c r="O24" s="4">
        <f t="shared" si="8"/>
        <v>336.06727486842647</v>
      </c>
    </row>
    <row r="25" spans="1:15" x14ac:dyDescent="0.25">
      <c r="A25" s="4">
        <f>'Data - SKU Detail'!A14</f>
        <v>1</v>
      </c>
      <c r="B25" s="4">
        <f>'Data - SKU Detail'!B14</f>
        <v>13</v>
      </c>
      <c r="C25" s="4">
        <f>'Data - SKU Detail'!C14</f>
        <v>47.35</v>
      </c>
      <c r="D25" s="4">
        <f>'Data - SKU Detail'!F14</f>
        <v>31018</v>
      </c>
      <c r="E25" s="4">
        <f t="shared" si="0"/>
        <v>9.4700000000000006</v>
      </c>
      <c r="F25" s="4">
        <f t="shared" si="1"/>
        <v>2216.5500177060312</v>
      </c>
      <c r="G25" s="4">
        <f>'Data - SKU Detail'!G14</f>
        <v>15.180707952271399</v>
      </c>
      <c r="H25" s="4">
        <f>'Data - SKU Detail'!H14</f>
        <v>10.297860243639899</v>
      </c>
      <c r="I25" s="4">
        <f t="shared" si="2"/>
        <v>66.064522774274252</v>
      </c>
      <c r="J25" s="4">
        <f t="shared" si="3"/>
        <v>44.81498654286731</v>
      </c>
      <c r="K25" s="4">
        <f t="shared" si="4"/>
        <v>1174.3395316272899</v>
      </c>
      <c r="L25" s="4">
        <f t="shared" si="5"/>
        <v>1153.0899953958829</v>
      </c>
      <c r="M25" s="4">
        <f t="shared" si="6"/>
        <v>11120.995364510436</v>
      </c>
      <c r="N25" s="4">
        <f t="shared" si="7"/>
        <v>10919.762256399012</v>
      </c>
      <c r="O25" s="4">
        <f t="shared" si="8"/>
        <v>201.23310811142437</v>
      </c>
    </row>
    <row r="26" spans="1:15" x14ac:dyDescent="0.25">
      <c r="A26" s="4">
        <f>'Data - SKU Detail'!A15</f>
        <v>1</v>
      </c>
      <c r="B26" s="4">
        <f>'Data - SKU Detail'!B15</f>
        <v>14</v>
      </c>
      <c r="C26" s="4">
        <f>'Data - SKU Detail'!C15</f>
        <v>182.71</v>
      </c>
      <c r="D26" s="4">
        <f>'Data - SKU Detail'!F15</f>
        <v>21577</v>
      </c>
      <c r="E26" s="4">
        <f t="shared" si="0"/>
        <v>36.542000000000002</v>
      </c>
      <c r="F26" s="4">
        <f t="shared" si="1"/>
        <v>941.12000183939665</v>
      </c>
      <c r="G26" s="4">
        <f>'Data - SKU Detail'!G15</f>
        <v>12.5525127256904</v>
      </c>
      <c r="H26" s="4">
        <f>'Data - SKU Detail'!H15</f>
        <v>7.0740651389342402</v>
      </c>
      <c r="I26" s="4">
        <f t="shared" si="2"/>
        <v>54.62694924689999</v>
      </c>
      <c r="J26" s="4">
        <f t="shared" si="3"/>
        <v>30.78543760588548</v>
      </c>
      <c r="K26" s="4">
        <f t="shared" si="4"/>
        <v>525.18695016659831</v>
      </c>
      <c r="L26" s="4">
        <f t="shared" si="5"/>
        <v>501.3454385255838</v>
      </c>
      <c r="M26" s="4">
        <f t="shared" si="6"/>
        <v>19191.381532987838</v>
      </c>
      <c r="N26" s="4">
        <f t="shared" si="7"/>
        <v>18320.165014601884</v>
      </c>
      <c r="O26" s="4">
        <f t="shared" si="8"/>
        <v>871.21651838595426</v>
      </c>
    </row>
    <row r="27" spans="1:15" x14ac:dyDescent="0.25">
      <c r="A27" s="4">
        <f>'Data - SKU Detail'!A16</f>
        <v>1</v>
      </c>
      <c r="B27" s="4">
        <f>'Data - SKU Detail'!B16</f>
        <v>15</v>
      </c>
      <c r="C27" s="4">
        <f>'Data - SKU Detail'!C16</f>
        <v>40</v>
      </c>
      <c r="D27" s="4">
        <f>'Data - SKU Detail'!F16</f>
        <v>32488</v>
      </c>
      <c r="E27" s="4">
        <f t="shared" si="0"/>
        <v>8</v>
      </c>
      <c r="F27" s="4">
        <f t="shared" si="1"/>
        <v>2468.0964324758465</v>
      </c>
      <c r="G27" s="4">
        <f>'Data - SKU Detail'!G16</f>
        <v>13.9596374003674</v>
      </c>
      <c r="H27" s="4">
        <f>'Data - SKU Detail'!H16</f>
        <v>9.3140446584471697</v>
      </c>
      <c r="I27" s="4">
        <f t="shared" si="2"/>
        <v>60.750578026843201</v>
      </c>
      <c r="J27" s="4">
        <f t="shared" si="3"/>
        <v>40.533545431029957</v>
      </c>
      <c r="K27" s="4">
        <f t="shared" si="4"/>
        <v>1294.7987942647665</v>
      </c>
      <c r="L27" s="4">
        <f t="shared" si="5"/>
        <v>1274.5817616689533</v>
      </c>
      <c r="M27" s="4">
        <f t="shared" si="6"/>
        <v>10358.390354118132</v>
      </c>
      <c r="N27" s="4">
        <f t="shared" si="7"/>
        <v>10196.654093351626</v>
      </c>
      <c r="O27" s="4">
        <f t="shared" si="8"/>
        <v>161.73626076650544</v>
      </c>
    </row>
    <row r="28" spans="1:15" x14ac:dyDescent="0.25">
      <c r="A28" s="4">
        <f>'Data - SKU Detail'!A17</f>
        <v>1</v>
      </c>
      <c r="B28" s="4">
        <f>'Data - SKU Detail'!B17</f>
        <v>16</v>
      </c>
      <c r="C28" s="4">
        <f>'Data - SKU Detail'!C17</f>
        <v>1506.73</v>
      </c>
      <c r="D28" s="4">
        <f>'Data - SKU Detail'!F17</f>
        <v>9438</v>
      </c>
      <c r="E28" s="4">
        <f t="shared" si="0"/>
        <v>301.346</v>
      </c>
      <c r="F28" s="4">
        <f t="shared" si="1"/>
        <v>216.74690286149061</v>
      </c>
      <c r="G28" s="4">
        <f>'Data - SKU Detail'!G17</f>
        <v>9.1506672402198497</v>
      </c>
      <c r="H28" s="4">
        <f>'Data - SKU Detail'!H17</f>
        <v>6.1875385564274001</v>
      </c>
      <c r="I28" s="4">
        <f t="shared" si="2"/>
        <v>39.822547551272578</v>
      </c>
      <c r="J28" s="4">
        <f t="shared" si="3"/>
        <v>26.927385940300308</v>
      </c>
      <c r="K28" s="4">
        <f t="shared" si="4"/>
        <v>148.1959989820179</v>
      </c>
      <c r="L28" s="4">
        <f t="shared" si="5"/>
        <v>135.30083737104562</v>
      </c>
      <c r="M28" s="4">
        <f t="shared" si="6"/>
        <v>44658.271509235165</v>
      </c>
      <c r="N28" s="4">
        <f t="shared" si="7"/>
        <v>40772.366138415113</v>
      </c>
      <c r="O28" s="4">
        <f t="shared" si="8"/>
        <v>3885.9053708200518</v>
      </c>
    </row>
    <row r="29" spans="1:15" x14ac:dyDescent="0.25">
      <c r="A29" s="4">
        <f>'Data - SKU Detail'!A18</f>
        <v>1</v>
      </c>
      <c r="B29" s="4">
        <f>'Data - SKU Detail'!B18</f>
        <v>17</v>
      </c>
      <c r="C29" s="4">
        <f>'Data - SKU Detail'!C18</f>
        <v>834.61</v>
      </c>
      <c r="D29" s="4">
        <f>'Data - SKU Detail'!F18</f>
        <v>12104</v>
      </c>
      <c r="E29" s="4">
        <f t="shared" si="0"/>
        <v>166.92200000000003</v>
      </c>
      <c r="F29" s="4">
        <f t="shared" si="1"/>
        <v>329.80200929089392</v>
      </c>
      <c r="G29" s="4">
        <f>'Data - SKU Detail'!G18</f>
        <v>8.0192896325784506</v>
      </c>
      <c r="H29" s="4">
        <f>'Data - SKU Detail'!H18</f>
        <v>5.5744920169902503</v>
      </c>
      <c r="I29" s="4">
        <f t="shared" si="2"/>
        <v>34.898935163673379</v>
      </c>
      <c r="J29" s="4">
        <f t="shared" si="3"/>
        <v>24.259484865220628</v>
      </c>
      <c r="K29" s="4">
        <f t="shared" si="4"/>
        <v>199.79993980912033</v>
      </c>
      <c r="L29" s="4">
        <f t="shared" si="5"/>
        <v>189.16048951066759</v>
      </c>
      <c r="M29" s="4">
        <f t="shared" si="6"/>
        <v>33351.005552817987</v>
      </c>
      <c r="N29" s="4">
        <f t="shared" si="7"/>
        <v>31575.047230099659</v>
      </c>
      <c r="O29" s="4">
        <f t="shared" si="8"/>
        <v>1775.9583227183284</v>
      </c>
    </row>
    <row r="30" spans="1:15" x14ac:dyDescent="0.25">
      <c r="A30" s="4">
        <f>'Data - SKU Detail'!A19</f>
        <v>1</v>
      </c>
      <c r="B30" s="4">
        <f>'Data - SKU Detail'!B19</f>
        <v>18</v>
      </c>
      <c r="C30" s="4">
        <f>'Data - SKU Detail'!C19</f>
        <v>51.52</v>
      </c>
      <c r="D30" s="4">
        <f>'Data - SKU Detail'!F19</f>
        <v>30901</v>
      </c>
      <c r="E30" s="4">
        <f t="shared" si="0"/>
        <v>10.304000000000002</v>
      </c>
      <c r="F30" s="4">
        <f t="shared" si="1"/>
        <v>2120.9428752619015</v>
      </c>
      <c r="G30" s="4">
        <f>'Data - SKU Detail'!G19</f>
        <v>13.525647630066</v>
      </c>
      <c r="H30" s="4">
        <f>'Data - SKU Detail'!H19</f>
        <v>9.9095382455900296</v>
      </c>
      <c r="I30" s="4">
        <f t="shared" si="2"/>
        <v>58.861909385431858</v>
      </c>
      <c r="J30" s="4">
        <f t="shared" si="3"/>
        <v>43.125058275715666</v>
      </c>
      <c r="K30" s="4">
        <f t="shared" si="4"/>
        <v>1119.3333470163825</v>
      </c>
      <c r="L30" s="4">
        <f t="shared" si="5"/>
        <v>1103.5964959066664</v>
      </c>
      <c r="M30" s="4">
        <f t="shared" si="6"/>
        <v>11533.610807656807</v>
      </c>
      <c r="N30" s="4">
        <f t="shared" si="7"/>
        <v>11371.458293822292</v>
      </c>
      <c r="O30" s="4">
        <f t="shared" si="8"/>
        <v>162.15251383451505</v>
      </c>
    </row>
    <row r="31" spans="1:15" x14ac:dyDescent="0.25">
      <c r="A31" s="4">
        <f>'Data - SKU Detail'!A20</f>
        <v>1</v>
      </c>
      <c r="B31" s="4">
        <f>'Data - SKU Detail'!B20</f>
        <v>19</v>
      </c>
      <c r="C31" s="4">
        <f>'Data - SKU Detail'!C20</f>
        <v>547.29999999999995</v>
      </c>
      <c r="D31" s="4">
        <f>'Data - SKU Detail'!F20</f>
        <v>15108</v>
      </c>
      <c r="E31" s="4">
        <f t="shared" si="0"/>
        <v>109.46</v>
      </c>
      <c r="F31" s="4">
        <f t="shared" si="1"/>
        <v>455.01047588247809</v>
      </c>
      <c r="G31" s="4">
        <f>'Data - SKU Detail'!G20</f>
        <v>8.4182644471386698</v>
      </c>
      <c r="H31" s="4">
        <f>'Data - SKU Detail'!H20</f>
        <v>6.2801524386594298</v>
      </c>
      <c r="I31" s="4">
        <f t="shared" si="2"/>
        <v>36.635223142188352</v>
      </c>
      <c r="J31" s="4">
        <f t="shared" si="3"/>
        <v>27.330429853085448</v>
      </c>
      <c r="K31" s="4">
        <f t="shared" si="4"/>
        <v>264.1404610834274</v>
      </c>
      <c r="L31" s="4">
        <f t="shared" si="5"/>
        <v>254.83566779432448</v>
      </c>
      <c r="M31" s="4">
        <f t="shared" si="6"/>
        <v>28912.81487019196</v>
      </c>
      <c r="N31" s="4">
        <f t="shared" si="7"/>
        <v>27894.312196766758</v>
      </c>
      <c r="O31" s="4">
        <f t="shared" si="8"/>
        <v>1018.5026734252024</v>
      </c>
    </row>
    <row r="32" spans="1:15" x14ac:dyDescent="0.25">
      <c r="A32" s="4">
        <f>'Data - SKU Detail'!A21</f>
        <v>1</v>
      </c>
      <c r="B32" s="4">
        <f>'Data - SKU Detail'!B21</f>
        <v>20</v>
      </c>
      <c r="C32" s="4">
        <f>'Data - SKU Detail'!C21</f>
        <v>424.89</v>
      </c>
      <c r="D32" s="4">
        <f>'Data - SKU Detail'!F21</f>
        <v>17464</v>
      </c>
      <c r="E32" s="4">
        <f t="shared" si="0"/>
        <v>84.978000000000009</v>
      </c>
      <c r="F32" s="4">
        <f t="shared" si="1"/>
        <v>555.21889585248903</v>
      </c>
      <c r="G32" s="4">
        <f>'Data - SKU Detail'!G21</f>
        <v>10.6493597402029</v>
      </c>
      <c r="H32" s="4">
        <f>'Data - SKU Detail'!H21</f>
        <v>7.1420872307127601</v>
      </c>
      <c r="I32" s="4">
        <f t="shared" si="2"/>
        <v>46.344667936438803</v>
      </c>
      <c r="J32" s="4">
        <f t="shared" si="3"/>
        <v>31.081461154035186</v>
      </c>
      <c r="K32" s="4">
        <f t="shared" si="4"/>
        <v>323.9541158626833</v>
      </c>
      <c r="L32" s="4">
        <f t="shared" si="5"/>
        <v>308.69090908027971</v>
      </c>
      <c r="M32" s="4">
        <f t="shared" si="6"/>
        <v>27528.972857779103</v>
      </c>
      <c r="N32" s="4">
        <f t="shared" si="7"/>
        <v>26231.936071824013</v>
      </c>
      <c r="O32" s="4">
        <f t="shared" si="8"/>
        <v>1297.0367859550897</v>
      </c>
    </row>
    <row r="33" spans="1:15" x14ac:dyDescent="0.25">
      <c r="A33" s="4">
        <f>'Data - SKU Detail'!A22</f>
        <v>1</v>
      </c>
      <c r="B33" s="4">
        <f>'Data - SKU Detail'!B22</f>
        <v>21</v>
      </c>
      <c r="C33" s="4">
        <f>'Data - SKU Detail'!C22</f>
        <v>647.92999999999995</v>
      </c>
      <c r="D33" s="4">
        <f>'Data - SKU Detail'!F22</f>
        <v>14646</v>
      </c>
      <c r="E33" s="4">
        <f t="shared" si="0"/>
        <v>129.58599999999998</v>
      </c>
      <c r="F33" s="4">
        <f t="shared" si="1"/>
        <v>411.74288403413232</v>
      </c>
      <c r="G33" s="4">
        <f>'Data - SKU Detail'!G22</f>
        <v>8.5238206453825001</v>
      </c>
      <c r="H33" s="4">
        <f>'Data - SKU Detail'!H22</f>
        <v>5.9688410253515398</v>
      </c>
      <c r="I33" s="4">
        <f t="shared" si="2"/>
        <v>37.094590378866002</v>
      </c>
      <c r="J33" s="4">
        <f t="shared" si="3"/>
        <v>25.975641919674651</v>
      </c>
      <c r="K33" s="4">
        <f t="shared" si="4"/>
        <v>242.96603239593216</v>
      </c>
      <c r="L33" s="4">
        <f t="shared" si="5"/>
        <v>231.8470839367408</v>
      </c>
      <c r="M33" s="4">
        <f t="shared" si="6"/>
        <v>31484.99627405926</v>
      </c>
      <c r="N33" s="4">
        <f t="shared" si="7"/>
        <v>30044.136219026488</v>
      </c>
      <c r="O33" s="4">
        <f t="shared" si="8"/>
        <v>1440.8600550327719</v>
      </c>
    </row>
    <row r="34" spans="1:15" x14ac:dyDescent="0.25">
      <c r="A34" s="4">
        <f>'Data - SKU Detail'!A23</f>
        <v>1</v>
      </c>
      <c r="B34" s="4">
        <f>'Data - SKU Detail'!B23</f>
        <v>22</v>
      </c>
      <c r="C34" s="4">
        <f>'Data - SKU Detail'!C23</f>
        <v>72.209999999999994</v>
      </c>
      <c r="D34" s="4">
        <f>'Data - SKU Detail'!F23</f>
        <v>29808</v>
      </c>
      <c r="E34" s="4">
        <f t="shared" si="0"/>
        <v>14.442</v>
      </c>
      <c r="F34" s="4">
        <f t="shared" si="1"/>
        <v>1759.5368956761133</v>
      </c>
      <c r="G34" s="4">
        <f>'Data - SKU Detail'!G23</f>
        <v>14.273968534899801</v>
      </c>
      <c r="H34" s="4">
        <f>'Data - SKU Detail'!H23</f>
        <v>8.7529231470269195</v>
      </c>
      <c r="I34" s="4">
        <f t="shared" si="2"/>
        <v>62.118507405451147</v>
      </c>
      <c r="J34" s="4">
        <f t="shared" si="3"/>
        <v>38.091615516634121</v>
      </c>
      <c r="K34" s="4">
        <f t="shared" si="4"/>
        <v>941.88695524350783</v>
      </c>
      <c r="L34" s="4">
        <f t="shared" si="5"/>
        <v>917.86006335469074</v>
      </c>
      <c r="M34" s="4">
        <f t="shared" si="6"/>
        <v>13602.731407626739</v>
      </c>
      <c r="N34" s="4">
        <f t="shared" si="7"/>
        <v>13255.735034968444</v>
      </c>
      <c r="O34" s="4">
        <f t="shared" si="8"/>
        <v>346.99637265829551</v>
      </c>
    </row>
    <row r="35" spans="1:15" x14ac:dyDescent="0.25">
      <c r="A35" s="4">
        <f>'Data - SKU Detail'!A24</f>
        <v>1</v>
      </c>
      <c r="B35" s="4">
        <f>'Data - SKU Detail'!B24</f>
        <v>23</v>
      </c>
      <c r="C35" s="4">
        <f>'Data - SKU Detail'!C24</f>
        <v>1075.06</v>
      </c>
      <c r="D35" s="4">
        <f>'Data - SKU Detail'!F24</f>
        <v>10806</v>
      </c>
      <c r="E35" s="4">
        <f t="shared" si="0"/>
        <v>215.012</v>
      </c>
      <c r="F35" s="4">
        <f t="shared" si="1"/>
        <v>274.56600309646666</v>
      </c>
      <c r="G35" s="4">
        <f>'Data - SKU Detail'!G24</f>
        <v>8.7482917587179401</v>
      </c>
      <c r="H35" s="4">
        <f>'Data - SKU Detail'!H24</f>
        <v>5.4231004603881301</v>
      </c>
      <c r="I35" s="4">
        <f t="shared" si="2"/>
        <v>38.071460299935595</v>
      </c>
      <c r="J35" s="4">
        <f t="shared" si="3"/>
        <v>23.60064794072284</v>
      </c>
      <c r="K35" s="4">
        <f t="shared" si="4"/>
        <v>175.35446184816891</v>
      </c>
      <c r="L35" s="4">
        <f t="shared" si="5"/>
        <v>160.88364948895617</v>
      </c>
      <c r="M35" s="4">
        <f t="shared" si="6"/>
        <v>37703.313550898492</v>
      </c>
      <c r="N35" s="4">
        <f t="shared" si="7"/>
        <v>34591.915243919444</v>
      </c>
      <c r="O35" s="4">
        <f t="shared" si="8"/>
        <v>3111.3983069790484</v>
      </c>
    </row>
    <row r="36" spans="1:15" x14ac:dyDescent="0.25">
      <c r="A36" s="4">
        <f>'Data - SKU Detail'!A25</f>
        <v>1</v>
      </c>
      <c r="B36" s="4">
        <f>'Data - SKU Detail'!B25</f>
        <v>24</v>
      </c>
      <c r="C36" s="4">
        <f>'Data - SKU Detail'!C25</f>
        <v>141.85</v>
      </c>
      <c r="D36" s="4">
        <f>'Data - SKU Detail'!F25</f>
        <v>24408</v>
      </c>
      <c r="E36" s="4">
        <f t="shared" si="0"/>
        <v>28.37</v>
      </c>
      <c r="F36" s="4">
        <f t="shared" si="1"/>
        <v>1136.0097503888328</v>
      </c>
      <c r="G36" s="4">
        <f>'Data - SKU Detail'!G25</f>
        <v>11.049702030127801</v>
      </c>
      <c r="H36" s="4">
        <f>'Data - SKU Detail'!H25</f>
        <v>8.4244662951215599</v>
      </c>
      <c r="I36" s="4">
        <f t="shared" si="2"/>
        <v>48.086906994946702</v>
      </c>
      <c r="J36" s="4">
        <f t="shared" si="3"/>
        <v>36.662212800944481</v>
      </c>
      <c r="K36" s="4">
        <f t="shared" si="4"/>
        <v>616.09178218936313</v>
      </c>
      <c r="L36" s="4">
        <f t="shared" si="5"/>
        <v>604.66708799536093</v>
      </c>
      <c r="M36" s="4">
        <f t="shared" si="6"/>
        <v>17478.523860712234</v>
      </c>
      <c r="N36" s="4">
        <f t="shared" si="7"/>
        <v>17154.405286428391</v>
      </c>
      <c r="O36" s="4">
        <f t="shared" si="8"/>
        <v>324.11857428384246</v>
      </c>
    </row>
    <row r="37" spans="1:15" x14ac:dyDescent="0.25">
      <c r="A37" s="4">
        <f>'Data - SKU Detail'!A26</f>
        <v>1</v>
      </c>
      <c r="B37" s="4">
        <f>'Data - SKU Detail'!B26</f>
        <v>25</v>
      </c>
      <c r="C37" s="4">
        <f>'Data - SKU Detail'!C26</f>
        <v>56.06</v>
      </c>
      <c r="D37" s="4">
        <f>'Data - SKU Detail'!F26</f>
        <v>29583</v>
      </c>
      <c r="E37" s="4">
        <f t="shared" si="0"/>
        <v>11.212000000000002</v>
      </c>
      <c r="F37" s="4">
        <f t="shared" si="1"/>
        <v>1989.4141002721769</v>
      </c>
      <c r="G37" s="4">
        <f>'Data - SKU Detail'!G26</f>
        <v>14.266941798604201</v>
      </c>
      <c r="H37" s="4">
        <f>'Data - SKU Detail'!H26</f>
        <v>9.6571582252712407</v>
      </c>
      <c r="I37" s="4">
        <f t="shared" si="2"/>
        <v>62.08792793699098</v>
      </c>
      <c r="J37" s="4">
        <f t="shared" si="3"/>
        <v>42.026732318023569</v>
      </c>
      <c r="K37" s="4">
        <f t="shared" si="4"/>
        <v>1056.7949780730794</v>
      </c>
      <c r="L37" s="4">
        <f t="shared" si="5"/>
        <v>1036.7337824541121</v>
      </c>
      <c r="M37" s="4">
        <f t="shared" si="6"/>
        <v>11848.785294155368</v>
      </c>
      <c r="N37" s="4">
        <f t="shared" si="7"/>
        <v>11623.859168875506</v>
      </c>
      <c r="O37" s="4">
        <f t="shared" si="8"/>
        <v>224.92612527986239</v>
      </c>
    </row>
    <row r="38" spans="1:15" x14ac:dyDescent="0.25">
      <c r="A38" s="4">
        <f>'Data - SKU Detail'!A27</f>
        <v>1</v>
      </c>
      <c r="B38" s="4">
        <f>'Data - SKU Detail'!B27</f>
        <v>26</v>
      </c>
      <c r="C38" s="4">
        <f>'Data - SKU Detail'!C27</f>
        <v>390.5</v>
      </c>
      <c r="D38" s="4">
        <f>'Data - SKU Detail'!F27</f>
        <v>17565</v>
      </c>
      <c r="E38" s="4">
        <f t="shared" si="0"/>
        <v>78.100000000000009</v>
      </c>
      <c r="F38" s="4">
        <f t="shared" si="1"/>
        <v>580.82351356091783</v>
      </c>
      <c r="G38" s="4">
        <f>'Data - SKU Detail'!G27</f>
        <v>9.7094188364896201</v>
      </c>
      <c r="H38" s="4">
        <f>'Data - SKU Detail'!H27</f>
        <v>7.2653666882313299</v>
      </c>
      <c r="I38" s="4">
        <f t="shared" si="2"/>
        <v>42.254163894395965</v>
      </c>
      <c r="J38" s="4">
        <f t="shared" si="3"/>
        <v>31.617957775565745</v>
      </c>
      <c r="K38" s="4">
        <f t="shared" si="4"/>
        <v>332.66592067485487</v>
      </c>
      <c r="L38" s="4">
        <f t="shared" si="5"/>
        <v>322.02971455602466</v>
      </c>
      <c r="M38" s="4">
        <f t="shared" si="6"/>
        <v>25981.208404706169</v>
      </c>
      <c r="N38" s="4">
        <f t="shared" si="7"/>
        <v>25150.520706825529</v>
      </c>
      <c r="O38" s="4">
        <f t="shared" si="8"/>
        <v>830.68769788063946</v>
      </c>
    </row>
    <row r="39" spans="1:15" x14ac:dyDescent="0.25">
      <c r="A39" s="4">
        <f>'Data - SKU Detail'!A28</f>
        <v>1</v>
      </c>
      <c r="B39" s="4">
        <f>'Data - SKU Detail'!B28</f>
        <v>27</v>
      </c>
      <c r="C39" s="4">
        <f>'Data - SKU Detail'!C28</f>
        <v>1639.41</v>
      </c>
      <c r="D39" s="4">
        <f>'Data - SKU Detail'!F28</f>
        <v>8114</v>
      </c>
      <c r="E39" s="4">
        <f t="shared" si="0"/>
        <v>327.88200000000006</v>
      </c>
      <c r="F39" s="4">
        <f t="shared" si="1"/>
        <v>192.6656728261016</v>
      </c>
      <c r="G39" s="4">
        <f>'Data - SKU Detail'!G28</f>
        <v>6.3166938439354796</v>
      </c>
      <c r="H39" s="4">
        <f>'Data - SKU Detail'!H28</f>
        <v>4.3267881999659599</v>
      </c>
      <c r="I39" s="4">
        <f t="shared" si="2"/>
        <v>27.489453431475436</v>
      </c>
      <c r="J39" s="4">
        <f t="shared" si="3"/>
        <v>18.829635513365016</v>
      </c>
      <c r="K39" s="4">
        <f t="shared" si="4"/>
        <v>123.82228984452624</v>
      </c>
      <c r="L39" s="4">
        <f t="shared" si="5"/>
        <v>115.16247192641582</v>
      </c>
      <c r="M39" s="4">
        <f t="shared" si="6"/>
        <v>40599.100038802957</v>
      </c>
      <c r="N39" s="4">
        <f t="shared" si="7"/>
        <v>37759.701620177082</v>
      </c>
      <c r="O39" s="4">
        <f t="shared" si="8"/>
        <v>2839.3984186258749</v>
      </c>
    </row>
    <row r="40" spans="1:15" x14ac:dyDescent="0.25">
      <c r="A40" s="4">
        <f>'Data - SKU Detail'!A29</f>
        <v>1</v>
      </c>
      <c r="B40" s="4">
        <f>'Data - SKU Detail'!B29</f>
        <v>28</v>
      </c>
      <c r="C40" s="4">
        <f>'Data - SKU Detail'!C29</f>
        <v>43.52</v>
      </c>
      <c r="D40" s="4">
        <f>'Data - SKU Detail'!F29</f>
        <v>32370</v>
      </c>
      <c r="E40" s="4">
        <f t="shared" si="0"/>
        <v>8.7040000000000006</v>
      </c>
      <c r="F40" s="4">
        <f t="shared" si="1"/>
        <v>2361.8784196307915</v>
      </c>
      <c r="G40" s="4">
        <f>'Data - SKU Detail'!G29</f>
        <v>16.542359733479401</v>
      </c>
      <c r="H40" s="4">
        <f>'Data - SKU Detail'!H29</f>
        <v>10.613621182372899</v>
      </c>
      <c r="I40" s="4">
        <f t="shared" si="2"/>
        <v>71.990259267794471</v>
      </c>
      <c r="J40" s="4">
        <f t="shared" si="3"/>
        <v>46.189138248686227</v>
      </c>
      <c r="K40" s="4">
        <f t="shared" si="4"/>
        <v>1252.9294690831903</v>
      </c>
      <c r="L40" s="4">
        <f t="shared" si="5"/>
        <v>1227.128348064082</v>
      </c>
      <c r="M40" s="4">
        <f t="shared" si="6"/>
        <v>10905.498098900089</v>
      </c>
      <c r="N40" s="4">
        <f t="shared" si="7"/>
        <v>10680.925141549771</v>
      </c>
      <c r="O40" s="4">
        <f t="shared" si="8"/>
        <v>224.57295735031767</v>
      </c>
    </row>
    <row r="41" spans="1:15" x14ac:dyDescent="0.25">
      <c r="A41" s="4">
        <f>'Data - SKU Detail'!A30</f>
        <v>1</v>
      </c>
      <c r="B41" s="4">
        <f>'Data - SKU Detail'!B30</f>
        <v>29</v>
      </c>
      <c r="C41" s="4">
        <f>'Data - SKU Detail'!C30</f>
        <v>119.82</v>
      </c>
      <c r="D41" s="4">
        <f>'Data - SKU Detail'!F30</f>
        <v>25693</v>
      </c>
      <c r="E41" s="4">
        <f t="shared" si="0"/>
        <v>23.963999999999999</v>
      </c>
      <c r="F41" s="4">
        <f t="shared" si="1"/>
        <v>1268.158049004888</v>
      </c>
      <c r="G41" s="4">
        <f>'Data - SKU Detail'!G30</f>
        <v>15.0474484458347</v>
      </c>
      <c r="H41" s="4">
        <f>'Data - SKU Detail'!H30</f>
        <v>9.4309225750254893</v>
      </c>
      <c r="I41" s="4">
        <f t="shared" si="2"/>
        <v>65.484594240930818</v>
      </c>
      <c r="J41" s="4">
        <f t="shared" si="3"/>
        <v>41.042183355287158</v>
      </c>
      <c r="K41" s="4">
        <f t="shared" si="4"/>
        <v>699.56361874337483</v>
      </c>
      <c r="L41" s="4">
        <f t="shared" si="5"/>
        <v>675.12120785773118</v>
      </c>
      <c r="M41" s="4">
        <f t="shared" si="6"/>
        <v>16764.342559566234</v>
      </c>
      <c r="N41" s="4">
        <f t="shared" si="7"/>
        <v>16178.604625102669</v>
      </c>
      <c r="O41" s="4">
        <f t="shared" si="8"/>
        <v>585.73793446356467</v>
      </c>
    </row>
    <row r="42" spans="1:15" x14ac:dyDescent="0.25">
      <c r="A42" s="4">
        <f>'Data - SKU Detail'!A31</f>
        <v>1</v>
      </c>
      <c r="B42" s="4">
        <f>'Data - SKU Detail'!B31</f>
        <v>30</v>
      </c>
      <c r="C42" s="4">
        <f>'Data - SKU Detail'!C31</f>
        <v>595.5</v>
      </c>
      <c r="D42" s="4">
        <f>'Data - SKU Detail'!F31</f>
        <v>14960</v>
      </c>
      <c r="E42" s="4">
        <f t="shared" si="0"/>
        <v>119.10000000000001</v>
      </c>
      <c r="F42" s="4">
        <f t="shared" si="1"/>
        <v>434.06577639428775</v>
      </c>
      <c r="G42" s="4">
        <f>'Data - SKU Detail'!G31</f>
        <v>8.5907093228587303</v>
      </c>
      <c r="H42" s="4">
        <f>'Data - SKU Detail'!H31</f>
        <v>6.0765361102664697</v>
      </c>
      <c r="I42" s="4">
        <f t="shared" si="2"/>
        <v>37.385681451190351</v>
      </c>
      <c r="J42" s="4">
        <f t="shared" si="3"/>
        <v>26.444317320875243</v>
      </c>
      <c r="K42" s="4">
        <f t="shared" si="4"/>
        <v>254.41856964833423</v>
      </c>
      <c r="L42" s="4">
        <f t="shared" si="5"/>
        <v>243.4772055180191</v>
      </c>
      <c r="M42" s="4">
        <f t="shared" si="6"/>
        <v>30301.251645116608</v>
      </c>
      <c r="N42" s="4">
        <f t="shared" si="7"/>
        <v>28998.135177196076</v>
      </c>
      <c r="O42" s="4">
        <f t="shared" si="8"/>
        <v>1303.1164679205322</v>
      </c>
    </row>
    <row r="43" spans="1:15" x14ac:dyDescent="0.25">
      <c r="A43" s="4">
        <f>'Data - SKU Detail'!A32</f>
        <v>1</v>
      </c>
      <c r="B43" s="4">
        <f>'Data - SKU Detail'!B32</f>
        <v>31</v>
      </c>
      <c r="C43" s="4">
        <f>'Data - SKU Detail'!C32</f>
        <v>198.8</v>
      </c>
      <c r="D43" s="4">
        <f>'Data - SKU Detail'!F32</f>
        <v>21465</v>
      </c>
      <c r="E43" s="4">
        <f t="shared" si="0"/>
        <v>39.760000000000005</v>
      </c>
      <c r="F43" s="4">
        <f t="shared" si="1"/>
        <v>899.88681380826768</v>
      </c>
      <c r="G43" s="4">
        <f>'Data - SKU Detail'!G32</f>
        <v>11.6072194859465</v>
      </c>
      <c r="H43" s="4">
        <f>'Data - SKU Detail'!H32</f>
        <v>7.5011579109715196</v>
      </c>
      <c r="I43" s="4">
        <f t="shared" si="2"/>
        <v>50.51315251477299</v>
      </c>
      <c r="J43" s="4">
        <f t="shared" si="3"/>
        <v>32.64409138235596</v>
      </c>
      <c r="K43" s="4">
        <f t="shared" si="4"/>
        <v>500.45655941890681</v>
      </c>
      <c r="L43" s="4">
        <f t="shared" si="5"/>
        <v>482.58749828648979</v>
      </c>
      <c r="M43" s="4">
        <f t="shared" si="6"/>
        <v>19898.152802495737</v>
      </c>
      <c r="N43" s="4">
        <f t="shared" si="7"/>
        <v>19187.678931870836</v>
      </c>
      <c r="O43" s="4">
        <f t="shared" si="8"/>
        <v>710.47387062490088</v>
      </c>
    </row>
    <row r="44" spans="1:15" x14ac:dyDescent="0.25">
      <c r="A44" s="4">
        <f>'Data - SKU Detail'!A33</f>
        <v>1</v>
      </c>
      <c r="B44" s="4">
        <f>'Data - SKU Detail'!B33</f>
        <v>32</v>
      </c>
      <c r="C44" s="4">
        <f>'Data - SKU Detail'!C33</f>
        <v>462.3</v>
      </c>
      <c r="D44" s="4">
        <f>'Data - SKU Detail'!F33</f>
        <v>16242</v>
      </c>
      <c r="E44" s="4">
        <f t="shared" si="0"/>
        <v>92.460000000000008</v>
      </c>
      <c r="F44" s="4">
        <f t="shared" si="1"/>
        <v>513.32029839815073</v>
      </c>
      <c r="G44" s="4">
        <f>'Data - SKU Detail'!G33</f>
        <v>9.6011973691889807</v>
      </c>
      <c r="H44" s="4">
        <f>'Data - SKU Detail'!H33</f>
        <v>6.9442102518509303</v>
      </c>
      <c r="I44" s="4">
        <f t="shared" si="2"/>
        <v>41.78319774356644</v>
      </c>
      <c r="J44" s="4">
        <f t="shared" si="3"/>
        <v>30.220325545760339</v>
      </c>
      <c r="K44" s="4">
        <f t="shared" si="4"/>
        <v>298.44334694264182</v>
      </c>
      <c r="L44" s="4">
        <f t="shared" si="5"/>
        <v>286.88047474483568</v>
      </c>
      <c r="M44" s="4">
        <f t="shared" si="6"/>
        <v>27594.071858316667</v>
      </c>
      <c r="N44" s="4">
        <f t="shared" si="7"/>
        <v>26524.968694907508</v>
      </c>
      <c r="O44" s="4">
        <f t="shared" si="8"/>
        <v>1069.1031634091596</v>
      </c>
    </row>
    <row r="45" spans="1:15" x14ac:dyDescent="0.25">
      <c r="A45" s="4">
        <f>'Data - SKU Detail'!A34</f>
        <v>1</v>
      </c>
      <c r="B45" s="4">
        <f>'Data - SKU Detail'!B34</f>
        <v>33</v>
      </c>
      <c r="C45" s="4">
        <f>'Data - SKU Detail'!C34</f>
        <v>130.37</v>
      </c>
      <c r="D45" s="4">
        <f>'Data - SKU Detail'!F34</f>
        <v>25608</v>
      </c>
      <c r="E45" s="4">
        <f t="shared" si="0"/>
        <v>26.074000000000002</v>
      </c>
      <c r="F45" s="4">
        <f t="shared" si="1"/>
        <v>1213.7510804129695</v>
      </c>
      <c r="G45" s="4">
        <f>'Data - SKU Detail'!G34</f>
        <v>12.7772408375567</v>
      </c>
      <c r="H45" s="4">
        <f>'Data - SKU Detail'!H34</f>
        <v>8.8884715063205704</v>
      </c>
      <c r="I45" s="4">
        <f t="shared" si="2"/>
        <v>55.604937593101553</v>
      </c>
      <c r="J45" s="4">
        <f t="shared" si="3"/>
        <v>38.681504848391604</v>
      </c>
      <c r="K45" s="4">
        <f t="shared" si="4"/>
        <v>662.48047779958631</v>
      </c>
      <c r="L45" s="4">
        <f t="shared" si="5"/>
        <v>645.55704505487631</v>
      </c>
      <c r="M45" s="4">
        <f t="shared" si="6"/>
        <v>17273.515978146414</v>
      </c>
      <c r="N45" s="4">
        <f t="shared" si="7"/>
        <v>16832.254392760846</v>
      </c>
      <c r="O45" s="4">
        <f t="shared" si="8"/>
        <v>441.26158538556774</v>
      </c>
    </row>
    <row r="46" spans="1:15" x14ac:dyDescent="0.25">
      <c r="A46" s="4">
        <f>'Data - SKU Detail'!A35</f>
        <v>1</v>
      </c>
      <c r="B46" s="4">
        <f>'Data - SKU Detail'!B35</f>
        <v>34</v>
      </c>
      <c r="C46" s="4">
        <f>'Data - SKU Detail'!C35</f>
        <v>1384.8</v>
      </c>
      <c r="D46" s="4">
        <f>'Data - SKU Detail'!F35</f>
        <v>9478</v>
      </c>
      <c r="E46" s="4">
        <f t="shared" si="0"/>
        <v>276.95999999999998</v>
      </c>
      <c r="F46" s="4">
        <f t="shared" si="1"/>
        <v>226.56637516855645</v>
      </c>
      <c r="G46" s="4">
        <f>'Data - SKU Detail'!G35</f>
        <v>6.5885402690014896</v>
      </c>
      <c r="H46" s="4">
        <f>'Data - SKU Detail'!H35</f>
        <v>5.0394906314491603</v>
      </c>
      <c r="I46" s="4">
        <f t="shared" si="2"/>
        <v>28.672494722852846</v>
      </c>
      <c r="J46" s="4">
        <f t="shared" si="3"/>
        <v>21.931226438112212</v>
      </c>
      <c r="K46" s="4">
        <f t="shared" si="4"/>
        <v>141.95568230713107</v>
      </c>
      <c r="L46" s="4">
        <f t="shared" si="5"/>
        <v>135.21441402239043</v>
      </c>
      <c r="M46" s="4">
        <f t="shared" si="6"/>
        <v>39316.045771783021</v>
      </c>
      <c r="N46" s="4">
        <f t="shared" si="7"/>
        <v>37448.984107641249</v>
      </c>
      <c r="O46" s="4">
        <f t="shared" si="8"/>
        <v>1867.0616641417728</v>
      </c>
    </row>
    <row r="47" spans="1:15" x14ac:dyDescent="0.25">
      <c r="A47" s="4">
        <f>'Data - SKU Detail'!A36</f>
        <v>1</v>
      </c>
      <c r="B47" s="4">
        <f>'Data - SKU Detail'!B36</f>
        <v>35</v>
      </c>
      <c r="C47" s="4">
        <f>'Data - SKU Detail'!C36</f>
        <v>167.93</v>
      </c>
      <c r="D47" s="4">
        <f>'Data - SKU Detail'!F36</f>
        <v>24259</v>
      </c>
      <c r="E47" s="4">
        <f t="shared" si="0"/>
        <v>33.586000000000006</v>
      </c>
      <c r="F47" s="4">
        <f t="shared" si="1"/>
        <v>1040.8854431713369</v>
      </c>
      <c r="G47" s="4">
        <f>'Data - SKU Detail'!G36</f>
        <v>12.768936828512</v>
      </c>
      <c r="H47" s="4">
        <f>'Data - SKU Detail'!H36</f>
        <v>7.0192273608026197</v>
      </c>
      <c r="I47" s="4">
        <f t="shared" si="2"/>
        <v>55.568799595033468</v>
      </c>
      <c r="J47" s="4">
        <f t="shared" si="3"/>
        <v>30.546790524757423</v>
      </c>
      <c r="K47" s="4">
        <f t="shared" si="4"/>
        <v>576.01152118070195</v>
      </c>
      <c r="L47" s="4">
        <f t="shared" si="5"/>
        <v>550.98951211042584</v>
      </c>
      <c r="M47" s="4">
        <f t="shared" si="6"/>
        <v>19345.922950375058</v>
      </c>
      <c r="N47" s="4">
        <f t="shared" si="7"/>
        <v>18505.533753740765</v>
      </c>
      <c r="O47" s="4">
        <f t="shared" si="8"/>
        <v>840.3891966342926</v>
      </c>
    </row>
    <row r="48" spans="1:15" x14ac:dyDescent="0.25">
      <c r="A48" s="4">
        <f>'Data - SKU Detail'!A37</f>
        <v>1</v>
      </c>
      <c r="B48" s="4">
        <f>'Data - SKU Detail'!B37</f>
        <v>36</v>
      </c>
      <c r="C48" s="4">
        <f>'Data - SKU Detail'!C37</f>
        <v>78.569999999999993</v>
      </c>
      <c r="D48" s="4">
        <f>'Data - SKU Detail'!F37</f>
        <v>28308</v>
      </c>
      <c r="E48" s="4">
        <f t="shared" si="0"/>
        <v>15.713999999999999</v>
      </c>
      <c r="F48" s="4">
        <f t="shared" si="1"/>
        <v>1643.8297975177757</v>
      </c>
      <c r="G48" s="4">
        <f>'Data - SKU Detail'!G37</f>
        <v>13.7879650049434</v>
      </c>
      <c r="H48" s="4">
        <f>'Data - SKU Detail'!H37</f>
        <v>9.7169203374508708</v>
      </c>
      <c r="I48" s="4">
        <f t="shared" si="2"/>
        <v>60.003481454479058</v>
      </c>
      <c r="J48" s="4">
        <f t="shared" si="3"/>
        <v>42.28680947868979</v>
      </c>
      <c r="K48" s="4">
        <f t="shared" si="4"/>
        <v>881.91838021336685</v>
      </c>
      <c r="L48" s="4">
        <f t="shared" si="5"/>
        <v>864.20170823757758</v>
      </c>
      <c r="M48" s="4">
        <f t="shared" si="6"/>
        <v>13858.465426672845</v>
      </c>
      <c r="N48" s="4">
        <f t="shared" si="7"/>
        <v>13580.065643245292</v>
      </c>
      <c r="O48" s="4">
        <f t="shared" si="8"/>
        <v>278.39978342755239</v>
      </c>
    </row>
    <row r="49" spans="1:15" x14ac:dyDescent="0.25">
      <c r="A49" s="4">
        <f>'Data - SKU Detail'!A38</f>
        <v>1</v>
      </c>
      <c r="B49" s="4">
        <f>'Data - SKU Detail'!B38</f>
        <v>37</v>
      </c>
      <c r="C49" s="4">
        <f>'Data - SKU Detail'!C38</f>
        <v>1169.73</v>
      </c>
      <c r="D49" s="4">
        <f>'Data - SKU Detail'!F38</f>
        <v>10606</v>
      </c>
      <c r="E49" s="4">
        <f t="shared" si="0"/>
        <v>233.94600000000003</v>
      </c>
      <c r="F49" s="4">
        <f t="shared" si="1"/>
        <v>260.77360383625228</v>
      </c>
      <c r="G49" s="4">
        <f>'Data - SKU Detail'!G38</f>
        <v>9.4025733229349306</v>
      </c>
      <c r="H49" s="4">
        <f>'Data - SKU Detail'!H38</f>
        <v>6.55744194706838</v>
      </c>
      <c r="I49" s="4">
        <f t="shared" si="2"/>
        <v>40.918810992400083</v>
      </c>
      <c r="J49" s="4">
        <f t="shared" si="3"/>
        <v>28.537158755383409</v>
      </c>
      <c r="K49" s="4">
        <f t="shared" si="4"/>
        <v>171.30561291052624</v>
      </c>
      <c r="L49" s="4">
        <f t="shared" si="5"/>
        <v>158.92396067350955</v>
      </c>
      <c r="M49" s="4">
        <f t="shared" si="6"/>
        <v>40076.262917965978</v>
      </c>
      <c r="N49" s="4">
        <f t="shared" si="7"/>
        <v>37179.624903724871</v>
      </c>
      <c r="O49" s="4">
        <f t="shared" si="8"/>
        <v>2896.6380142411072</v>
      </c>
    </row>
    <row r="50" spans="1:15" x14ac:dyDescent="0.25">
      <c r="A50" s="4">
        <f>'Data - SKU Detail'!A39</f>
        <v>1</v>
      </c>
      <c r="B50" s="4">
        <f>'Data - SKU Detail'!B39</f>
        <v>38</v>
      </c>
      <c r="C50" s="4">
        <f>'Data - SKU Detail'!C39</f>
        <v>66.37</v>
      </c>
      <c r="D50" s="4">
        <f>'Data - SKU Detail'!F39</f>
        <v>30100</v>
      </c>
      <c r="E50" s="4">
        <f t="shared" si="0"/>
        <v>13.274000000000001</v>
      </c>
      <c r="F50" s="4">
        <f t="shared" si="1"/>
        <v>1844.2847308508524</v>
      </c>
      <c r="G50" s="4">
        <f>'Data - SKU Detail'!G39</f>
        <v>16.425816674252399</v>
      </c>
      <c r="H50" s="4">
        <f>'Data - SKU Detail'!H39</f>
        <v>10.6308665372503</v>
      </c>
      <c r="I50" s="4">
        <f t="shared" si="2"/>
        <v>71.483078600417628</v>
      </c>
      <c r="J50" s="4">
        <f t="shared" si="3"/>
        <v>46.26418785398991</v>
      </c>
      <c r="K50" s="4">
        <f t="shared" si="4"/>
        <v>993.62544402584376</v>
      </c>
      <c r="L50" s="4">
        <f t="shared" si="5"/>
        <v>968.40655327941613</v>
      </c>
      <c r="M50" s="4">
        <f t="shared" si="6"/>
        <v>13189.38414399905</v>
      </c>
      <c r="N50" s="4">
        <f t="shared" si="7"/>
        <v>12854.628588230971</v>
      </c>
      <c r="O50" s="4">
        <f t="shared" si="8"/>
        <v>334.75555576807892</v>
      </c>
    </row>
    <row r="51" spans="1:15" x14ac:dyDescent="0.25">
      <c r="A51" s="4">
        <f>'Data - SKU Detail'!A40</f>
        <v>1</v>
      </c>
      <c r="B51" s="4">
        <f>'Data - SKU Detail'!B40</f>
        <v>39</v>
      </c>
      <c r="C51" s="4">
        <f>'Data - SKU Detail'!C40</f>
        <v>503.01</v>
      </c>
      <c r="D51" s="4">
        <f>'Data - SKU Detail'!F40</f>
        <v>16241</v>
      </c>
      <c r="E51" s="4">
        <f t="shared" si="0"/>
        <v>100.602</v>
      </c>
      <c r="F51" s="4">
        <f t="shared" si="1"/>
        <v>492.09472012437078</v>
      </c>
      <c r="G51" s="4">
        <f>'Data - SKU Detail'!G40</f>
        <v>12.459907035181701</v>
      </c>
      <c r="H51" s="4">
        <f>'Data - SKU Detail'!H40</f>
        <v>7.5899351917141296</v>
      </c>
      <c r="I51" s="4">
        <f t="shared" si="2"/>
        <v>54.223940983459684</v>
      </c>
      <c r="J51" s="4">
        <f t="shared" si="3"/>
        <v>33.03043889025205</v>
      </c>
      <c r="K51" s="4">
        <f t="shared" si="4"/>
        <v>300.27130104564509</v>
      </c>
      <c r="L51" s="4">
        <f t="shared" si="5"/>
        <v>279.07779895243743</v>
      </c>
      <c r="M51" s="4">
        <f t="shared" si="6"/>
        <v>30207.893427793988</v>
      </c>
      <c r="N51" s="4">
        <f t="shared" si="7"/>
        <v>28075.784730213112</v>
      </c>
      <c r="O51" s="4">
        <f t="shared" si="8"/>
        <v>2132.1086975808757</v>
      </c>
    </row>
    <row r="52" spans="1:15" x14ac:dyDescent="0.25">
      <c r="A52" s="4">
        <f>'Data - SKU Detail'!A41</f>
        <v>1</v>
      </c>
      <c r="B52" s="4">
        <f>'Data - SKU Detail'!B41</f>
        <v>40</v>
      </c>
      <c r="C52" s="4">
        <f>'Data - SKU Detail'!C41</f>
        <v>1272.73</v>
      </c>
      <c r="D52" s="4">
        <f>'Data - SKU Detail'!F41</f>
        <v>10818</v>
      </c>
      <c r="E52" s="4">
        <f t="shared" si="0"/>
        <v>254.54600000000002</v>
      </c>
      <c r="F52" s="4">
        <f t="shared" si="1"/>
        <v>252.48523118565637</v>
      </c>
      <c r="G52" s="4">
        <f>'Data - SKU Detail'!G41</f>
        <v>7.35041951082989</v>
      </c>
      <c r="H52" s="4">
        <f>'Data - SKU Detail'!H41</f>
        <v>5.3922613686720799</v>
      </c>
      <c r="I52" s="4">
        <f t="shared" si="2"/>
        <v>31.988096912241392</v>
      </c>
      <c r="J52" s="4">
        <f t="shared" si="3"/>
        <v>23.466440110401717</v>
      </c>
      <c r="K52" s="4">
        <f t="shared" si="4"/>
        <v>158.23071250506959</v>
      </c>
      <c r="L52" s="4">
        <f t="shared" si="5"/>
        <v>149.70905570322989</v>
      </c>
      <c r="M52" s="4">
        <f t="shared" si="6"/>
        <v>40276.994945315448</v>
      </c>
      <c r="N52" s="4">
        <f t="shared" si="7"/>
        <v>38107.841293034362</v>
      </c>
      <c r="O52" s="4">
        <f t="shared" si="8"/>
        <v>2169.1536522810857</v>
      </c>
    </row>
    <row r="53" spans="1:15" x14ac:dyDescent="0.25">
      <c r="A53" s="4">
        <f>'Data - SKU Detail'!A42</f>
        <v>1</v>
      </c>
      <c r="B53" s="4">
        <f>'Data - SKU Detail'!B42</f>
        <v>41</v>
      </c>
      <c r="C53" s="4">
        <f>'Data - SKU Detail'!C42</f>
        <v>2111.73</v>
      </c>
      <c r="D53" s="4">
        <f>'Data - SKU Detail'!F42</f>
        <v>8185</v>
      </c>
      <c r="E53" s="4">
        <f t="shared" si="0"/>
        <v>422.346</v>
      </c>
      <c r="F53" s="4">
        <f t="shared" si="1"/>
        <v>170.49858486761838</v>
      </c>
      <c r="G53" s="4">
        <f>'Data - SKU Detail'!G42</f>
        <v>7.5570769697551503</v>
      </c>
      <c r="H53" s="4">
        <f>'Data - SKU Detail'!H42</f>
        <v>5.5516600718494802</v>
      </c>
      <c r="I53" s="4">
        <f t="shared" si="2"/>
        <v>32.887444060250964</v>
      </c>
      <c r="J53" s="4">
        <f t="shared" si="3"/>
        <v>24.160123125012213</v>
      </c>
      <c r="K53" s="4">
        <f t="shared" si="4"/>
        <v>118.13673649406016</v>
      </c>
      <c r="L53" s="4">
        <f t="shared" si="5"/>
        <v>109.40941555882139</v>
      </c>
      <c r="M53" s="4">
        <f t="shared" si="6"/>
        <v>49894.578111320334</v>
      </c>
      <c r="N53" s="4">
        <f t="shared" si="7"/>
        <v>46208.629023605979</v>
      </c>
      <c r="O53" s="4">
        <f t="shared" si="8"/>
        <v>3685.9490877143544</v>
      </c>
    </row>
    <row r="54" spans="1:15" x14ac:dyDescent="0.25">
      <c r="A54" s="4">
        <f>'Data - SKU Detail'!A43</f>
        <v>1</v>
      </c>
      <c r="B54" s="4">
        <f>'Data - SKU Detail'!B43</f>
        <v>42</v>
      </c>
      <c r="C54" s="4">
        <f>'Data - SKU Detail'!C43</f>
        <v>704.99</v>
      </c>
      <c r="D54" s="4">
        <f>'Data - SKU Detail'!F43</f>
        <v>13501</v>
      </c>
      <c r="E54" s="4">
        <f t="shared" si="0"/>
        <v>140.99800000000002</v>
      </c>
      <c r="F54" s="4">
        <f t="shared" si="1"/>
        <v>378.98508793240529</v>
      </c>
      <c r="G54" s="4">
        <f>'Data - SKU Detail'!G43</f>
        <v>8.8846391703216199</v>
      </c>
      <c r="H54" s="4">
        <f>'Data - SKU Detail'!H43</f>
        <v>6.2468584147540698</v>
      </c>
      <c r="I54" s="4">
        <f t="shared" si="2"/>
        <v>38.66482700637809</v>
      </c>
      <c r="J54" s="4">
        <f t="shared" si="3"/>
        <v>27.185538468081642</v>
      </c>
      <c r="K54" s="4">
        <f t="shared" si="4"/>
        <v>228.15737097258074</v>
      </c>
      <c r="L54" s="4">
        <f t="shared" si="5"/>
        <v>216.67808243428428</v>
      </c>
      <c r="M54" s="4">
        <f t="shared" si="6"/>
        <v>32169.732992391942</v>
      </c>
      <c r="N54" s="4">
        <f t="shared" si="7"/>
        <v>30551.176267069219</v>
      </c>
      <c r="O54" s="4">
        <f t="shared" si="8"/>
        <v>1618.5567253227237</v>
      </c>
    </row>
    <row r="55" spans="1:15" x14ac:dyDescent="0.25">
      <c r="A55" s="4">
        <f>'Data - SKU Detail'!A44</f>
        <v>1</v>
      </c>
      <c r="B55" s="4">
        <f>'Data - SKU Detail'!B44</f>
        <v>43</v>
      </c>
      <c r="C55" s="4">
        <f>'Data - SKU Detail'!C44</f>
        <v>358.9</v>
      </c>
      <c r="D55" s="4">
        <f>'Data - SKU Detail'!F44</f>
        <v>18883</v>
      </c>
      <c r="E55" s="4">
        <f t="shared" si="0"/>
        <v>71.78</v>
      </c>
      <c r="F55" s="4">
        <f t="shared" si="1"/>
        <v>628.17319293584137</v>
      </c>
      <c r="G55" s="4">
        <f>'Data - SKU Detail'!G44</f>
        <v>10.280926216080299</v>
      </c>
      <c r="H55" s="4">
        <f>'Data - SKU Detail'!H44</f>
        <v>7.9054476231734201</v>
      </c>
      <c r="I55" s="4">
        <f t="shared" si="2"/>
        <v>44.74129179471138</v>
      </c>
      <c r="J55" s="4">
        <f t="shared" si="3"/>
        <v>34.403509123817152</v>
      </c>
      <c r="K55" s="4">
        <f t="shared" si="4"/>
        <v>358.82788826263209</v>
      </c>
      <c r="L55" s="4">
        <f t="shared" si="5"/>
        <v>348.49010559173786</v>
      </c>
      <c r="M55" s="4">
        <f t="shared" si="6"/>
        <v>25756.665819491733</v>
      </c>
      <c r="N55" s="4">
        <f t="shared" si="7"/>
        <v>25014.619779374945</v>
      </c>
      <c r="O55" s="4">
        <f t="shared" si="8"/>
        <v>742.04604011678748</v>
      </c>
    </row>
    <row r="56" spans="1:15" x14ac:dyDescent="0.25">
      <c r="A56" s="4">
        <f>'Data - SKU Detail'!A45</f>
        <v>1</v>
      </c>
      <c r="B56" s="4">
        <f>'Data - SKU Detail'!B45</f>
        <v>44</v>
      </c>
      <c r="C56" s="4">
        <f>'Data - SKU Detail'!C45</f>
        <v>908.1</v>
      </c>
      <c r="D56" s="4">
        <f>'Data - SKU Detail'!F45</f>
        <v>10828</v>
      </c>
      <c r="E56" s="4">
        <f t="shared" si="0"/>
        <v>181.62</v>
      </c>
      <c r="F56" s="4">
        <f t="shared" si="1"/>
        <v>299.04594469742199</v>
      </c>
      <c r="G56" s="4">
        <f>'Data - SKU Detail'!G45</f>
        <v>9.7648596749799594</v>
      </c>
      <c r="H56" s="4">
        <f>'Data - SKU Detail'!H45</f>
        <v>6.6144949238942701</v>
      </c>
      <c r="I56" s="4">
        <f t="shared" si="2"/>
        <v>42.495435418002472</v>
      </c>
      <c r="J56" s="4">
        <f t="shared" si="3"/>
        <v>28.785446101316456</v>
      </c>
      <c r="K56" s="4">
        <f t="shared" si="4"/>
        <v>192.01840776671347</v>
      </c>
      <c r="L56" s="4">
        <f t="shared" si="5"/>
        <v>178.30841845002746</v>
      </c>
      <c r="M56" s="4">
        <f t="shared" si="6"/>
        <v>34874.383218590498</v>
      </c>
      <c r="N56" s="4">
        <f t="shared" si="7"/>
        <v>32384.374958893986</v>
      </c>
      <c r="O56" s="4">
        <f t="shared" si="8"/>
        <v>2490.0082596965112</v>
      </c>
    </row>
    <row r="57" spans="1:15" x14ac:dyDescent="0.25">
      <c r="A57" s="4">
        <f>'Data - SKU Detail'!A46</f>
        <v>1</v>
      </c>
      <c r="B57" s="4">
        <f>'Data - SKU Detail'!B46</f>
        <v>45</v>
      </c>
      <c r="C57" s="4">
        <f>'Data - SKU Detail'!C46</f>
        <v>61</v>
      </c>
      <c r="D57" s="4">
        <f>'Data - SKU Detail'!F46</f>
        <v>29465</v>
      </c>
      <c r="E57" s="4">
        <f t="shared" si="0"/>
        <v>12.200000000000001</v>
      </c>
      <c r="F57" s="4">
        <f t="shared" si="1"/>
        <v>1903.3512291848144</v>
      </c>
      <c r="G57" s="4">
        <f>'Data - SKU Detail'!G46</f>
        <v>14.9133626353404</v>
      </c>
      <c r="H57" s="4">
        <f>'Data - SKU Detail'!H46</f>
        <v>9.9001632950877099</v>
      </c>
      <c r="I57" s="4">
        <f t="shared" si="2"/>
        <v>64.901069736740453</v>
      </c>
      <c r="J57" s="4">
        <f t="shared" si="3"/>
        <v>43.084259675748157</v>
      </c>
      <c r="K57" s="4">
        <f t="shared" si="4"/>
        <v>1016.5766843291476</v>
      </c>
      <c r="L57" s="4">
        <f t="shared" si="5"/>
        <v>994.75987426815539</v>
      </c>
      <c r="M57" s="4">
        <f t="shared" si="6"/>
        <v>12402.235548815603</v>
      </c>
      <c r="N57" s="4">
        <f t="shared" si="7"/>
        <v>12136.070466071496</v>
      </c>
      <c r="O57" s="4">
        <f t="shared" si="8"/>
        <v>266.16508274410626</v>
      </c>
    </row>
    <row r="58" spans="1:15" x14ac:dyDescent="0.25">
      <c r="A58" s="4">
        <f>'Data - SKU Detail'!A47</f>
        <v>1</v>
      </c>
      <c r="B58" s="4">
        <f>'Data - SKU Detail'!B47</f>
        <v>46</v>
      </c>
      <c r="C58" s="4">
        <f>'Data - SKU Detail'!C47</f>
        <v>216.31</v>
      </c>
      <c r="D58" s="4">
        <f>'Data - SKU Detail'!F47</f>
        <v>21593</v>
      </c>
      <c r="E58" s="4">
        <f t="shared" si="0"/>
        <v>43.262</v>
      </c>
      <c r="F58" s="4">
        <f t="shared" si="1"/>
        <v>865.26437953312018</v>
      </c>
      <c r="G58" s="4">
        <f>'Data - SKU Detail'!G47</f>
        <v>12.7292170628428</v>
      </c>
      <c r="H58" s="4">
        <f>'Data - SKU Detail'!H47</f>
        <v>7.8340923026590596</v>
      </c>
      <c r="I58" s="4">
        <f t="shared" si="2"/>
        <v>55.395944193830061</v>
      </c>
      <c r="J58" s="4">
        <f t="shared" si="3"/>
        <v>34.092979785395798</v>
      </c>
      <c r="K58" s="4">
        <f t="shared" si="4"/>
        <v>488.02813396039016</v>
      </c>
      <c r="L58" s="4">
        <f t="shared" si="5"/>
        <v>466.7251695519559</v>
      </c>
      <c r="M58" s="4">
        <f t="shared" si="6"/>
        <v>21113.073131394398</v>
      </c>
      <c r="N58" s="4">
        <f t="shared" si="7"/>
        <v>20191.464285156715</v>
      </c>
      <c r="O58" s="4">
        <f t="shared" si="8"/>
        <v>921.60884623768288</v>
      </c>
    </row>
    <row r="59" spans="1:15" x14ac:dyDescent="0.25">
      <c r="A59" s="4">
        <f>'Data - SKU Detail'!A48</f>
        <v>1</v>
      </c>
      <c r="B59" s="4">
        <f>'Data - SKU Detail'!B48</f>
        <v>47</v>
      </c>
      <c r="C59" s="4">
        <f>'Data - SKU Detail'!C48</f>
        <v>1940.83</v>
      </c>
      <c r="D59" s="4">
        <f>'Data - SKU Detail'!F48</f>
        <v>8218</v>
      </c>
      <c r="E59" s="4">
        <f t="shared" si="0"/>
        <v>388.166</v>
      </c>
      <c r="F59" s="4">
        <f t="shared" si="1"/>
        <v>178.2050273852289</v>
      </c>
      <c r="G59" s="4">
        <f>'Data - SKU Detail'!G48</f>
        <v>6.1169522341192</v>
      </c>
      <c r="H59" s="4">
        <f>'Data - SKU Detail'!H48</f>
        <v>4.4719888932465004</v>
      </c>
      <c r="I59" s="4">
        <f t="shared" si="2"/>
        <v>26.620203184901566</v>
      </c>
      <c r="J59" s="4">
        <f t="shared" si="3"/>
        <v>19.461530582964677</v>
      </c>
      <c r="K59" s="4">
        <f t="shared" si="4"/>
        <v>115.72271687751602</v>
      </c>
      <c r="L59" s="4">
        <f t="shared" si="5"/>
        <v>108.56404427557914</v>
      </c>
      <c r="M59" s="4">
        <f t="shared" si="6"/>
        <v>44919.624119477885</v>
      </c>
      <c r="N59" s="4">
        <f t="shared" si="7"/>
        <v>42140.870810274449</v>
      </c>
      <c r="O59" s="4">
        <f t="shared" si="8"/>
        <v>2778.7533092034355</v>
      </c>
    </row>
    <row r="60" spans="1:15" x14ac:dyDescent="0.25">
      <c r="A60" s="4">
        <f>'Data - SKU Detail'!A49</f>
        <v>1</v>
      </c>
      <c r="B60" s="4">
        <f>'Data - SKU Detail'!B49</f>
        <v>48</v>
      </c>
      <c r="C60" s="4">
        <f>'Data - SKU Detail'!C49</f>
        <v>329.86</v>
      </c>
      <c r="D60" s="4">
        <f>'Data - SKU Detail'!F49</f>
        <v>19019</v>
      </c>
      <c r="E60" s="4">
        <f t="shared" si="0"/>
        <v>65.972000000000008</v>
      </c>
      <c r="F60" s="4">
        <f t="shared" si="1"/>
        <v>657.59672795563631</v>
      </c>
      <c r="G60" s="4">
        <f>'Data - SKU Detail'!G49</f>
        <v>9.9524910628659295</v>
      </c>
      <c r="H60" s="4">
        <f>'Data - SKU Detail'!H49</f>
        <v>6.8393177863030896</v>
      </c>
      <c r="I60" s="4">
        <f t="shared" si="2"/>
        <v>43.311983508983083</v>
      </c>
      <c r="J60" s="4">
        <f t="shared" si="3"/>
        <v>29.763846789906388</v>
      </c>
      <c r="K60" s="4">
        <f t="shared" si="4"/>
        <v>372.11034748680123</v>
      </c>
      <c r="L60" s="4">
        <f t="shared" si="5"/>
        <v>358.56221076772454</v>
      </c>
      <c r="M60" s="4">
        <f t="shared" si="6"/>
        <v>24548.863844399253</v>
      </c>
      <c r="N60" s="4">
        <f t="shared" si="7"/>
        <v>23655.066168768328</v>
      </c>
      <c r="O60" s="4">
        <f t="shared" si="8"/>
        <v>893.79767563092537</v>
      </c>
    </row>
    <row r="61" spans="1:15" x14ac:dyDescent="0.25">
      <c r="A61" s="4">
        <f>'Data - SKU Detail'!A50</f>
        <v>1</v>
      </c>
      <c r="B61" s="4">
        <f>'Data - SKU Detail'!B50</f>
        <v>49</v>
      </c>
      <c r="C61" s="4">
        <f>'Data - SKU Detail'!C50</f>
        <v>988.06</v>
      </c>
      <c r="D61" s="4">
        <f>'Data - SKU Detail'!F50</f>
        <v>10824</v>
      </c>
      <c r="E61" s="4">
        <f t="shared" si="0"/>
        <v>197.61199999999999</v>
      </c>
      <c r="F61" s="4">
        <f t="shared" si="1"/>
        <v>286.63740573811583</v>
      </c>
      <c r="G61" s="4">
        <f>'Data - SKU Detail'!G50</f>
        <v>6.9706486546109598</v>
      </c>
      <c r="H61" s="4">
        <f>'Data - SKU Detail'!H50</f>
        <v>5.1082002646380804</v>
      </c>
      <c r="I61" s="4">
        <f t="shared" si="2"/>
        <v>30.335382133815848</v>
      </c>
      <c r="J61" s="4">
        <f t="shared" si="3"/>
        <v>22.230242079602252</v>
      </c>
      <c r="K61" s="4">
        <f t="shared" si="4"/>
        <v>173.65408500287376</v>
      </c>
      <c r="L61" s="4">
        <f t="shared" si="5"/>
        <v>165.54894494866016</v>
      </c>
      <c r="M61" s="4">
        <f t="shared" si="6"/>
        <v>34316.131045587885</v>
      </c>
      <c r="N61" s="4">
        <f t="shared" si="7"/>
        <v>32714.458109194631</v>
      </c>
      <c r="O61" s="4">
        <f t="shared" si="8"/>
        <v>1601.6729363932536</v>
      </c>
    </row>
    <row r="62" spans="1:15" x14ac:dyDescent="0.25">
      <c r="A62" s="4">
        <f>'Data - SKU Detail'!A51</f>
        <v>1</v>
      </c>
      <c r="B62" s="4">
        <f>'Data - SKU Detail'!B51</f>
        <v>50</v>
      </c>
      <c r="C62" s="4">
        <f>'Data - SKU Detail'!C51</f>
        <v>154.34</v>
      </c>
      <c r="D62" s="4">
        <f>'Data - SKU Detail'!F51</f>
        <v>24189</v>
      </c>
      <c r="E62" s="4">
        <f t="shared" si="0"/>
        <v>30.868000000000002</v>
      </c>
      <c r="F62" s="4">
        <f t="shared" si="1"/>
        <v>1084.1773774248563</v>
      </c>
      <c r="G62" s="4">
        <f>'Data - SKU Detail'!G51</f>
        <v>13.001451644483099</v>
      </c>
      <c r="H62" s="4">
        <f>'Data - SKU Detail'!H51</f>
        <v>7.9698917662467403</v>
      </c>
      <c r="I62" s="4">
        <f t="shared" si="2"/>
        <v>56.580674693571311</v>
      </c>
      <c r="J62" s="4">
        <f t="shared" si="3"/>
        <v>34.68396189131137</v>
      </c>
      <c r="K62" s="4">
        <f t="shared" si="4"/>
        <v>598.66936340599943</v>
      </c>
      <c r="L62" s="4">
        <f t="shared" si="5"/>
        <v>576.77265060373952</v>
      </c>
      <c r="M62" s="4">
        <f t="shared" si="6"/>
        <v>18479.725909616391</v>
      </c>
      <c r="N62" s="4">
        <f t="shared" si="7"/>
        <v>17803.818178836234</v>
      </c>
      <c r="O62" s="4">
        <f t="shared" si="8"/>
        <v>675.90773078015627</v>
      </c>
    </row>
    <row r="63" spans="1:15" x14ac:dyDescent="0.25">
      <c r="A63" s="4">
        <f>'Data - SKU Detail'!A52</f>
        <v>2</v>
      </c>
      <c r="B63" s="4">
        <f>'Data - SKU Detail'!B52</f>
        <v>1</v>
      </c>
      <c r="C63" s="4">
        <f>'Data - SKU Detail'!C52</f>
        <v>2297.6799999999998</v>
      </c>
      <c r="D63" s="4">
        <f>'Data - SKU Detail'!F52</f>
        <v>11444</v>
      </c>
      <c r="E63" s="4">
        <f t="shared" si="0"/>
        <v>459.536</v>
      </c>
      <c r="F63" s="4">
        <f t="shared" si="1"/>
        <v>193.27460050988643</v>
      </c>
      <c r="G63" s="4">
        <f>'Data - SKU Detail'!G52</f>
        <v>9.1135730931729402</v>
      </c>
      <c r="H63" s="4">
        <f>'Data - SKU Detail'!H52</f>
        <v>6.1025080236601497</v>
      </c>
      <c r="I63" s="4">
        <f t="shared" si="2"/>
        <v>39.661118510540248</v>
      </c>
      <c r="J63" s="4">
        <f t="shared" si="3"/>
        <v>26.55734380615398</v>
      </c>
      <c r="K63" s="4">
        <f t="shared" si="4"/>
        <v>136.29841876548346</v>
      </c>
      <c r="L63" s="4">
        <f t="shared" si="5"/>
        <v>123.19464406109719</v>
      </c>
      <c r="M63" s="4">
        <f t="shared" si="6"/>
        <v>62634.030165815209</v>
      </c>
      <c r="N63" s="4">
        <f t="shared" si="7"/>
        <v>56612.373953260358</v>
      </c>
      <c r="O63" s="4">
        <f t="shared" si="8"/>
        <v>6021.6562125548517</v>
      </c>
    </row>
    <row r="64" spans="1:15" x14ac:dyDescent="0.25">
      <c r="A64" s="4">
        <f>'Data - SKU Detail'!A53</f>
        <v>2</v>
      </c>
      <c r="B64" s="4">
        <f>'Data - SKU Detail'!B53</f>
        <v>2</v>
      </c>
      <c r="C64" s="4">
        <f>'Data - SKU Detail'!C53</f>
        <v>235.35</v>
      </c>
      <c r="D64" s="4">
        <f>'Data - SKU Detail'!F53</f>
        <v>30550</v>
      </c>
      <c r="E64" s="4">
        <f t="shared" si="0"/>
        <v>47.07</v>
      </c>
      <c r="F64" s="4">
        <f t="shared" si="1"/>
        <v>986.68638982578022</v>
      </c>
      <c r="G64" s="4">
        <f>'Data - SKU Detail'!G53</f>
        <v>14.1606204835697</v>
      </c>
      <c r="H64" s="4">
        <f>'Data - SKU Detail'!H53</f>
        <v>8.8948248029894703</v>
      </c>
      <c r="I64" s="4">
        <f t="shared" si="2"/>
        <v>61.625231008720476</v>
      </c>
      <c r="J64" s="4">
        <f t="shared" si="3"/>
        <v>38.709153592692189</v>
      </c>
      <c r="K64" s="4">
        <f t="shared" si="4"/>
        <v>554.96842592161056</v>
      </c>
      <c r="L64" s="4">
        <f t="shared" si="5"/>
        <v>532.05234850558236</v>
      </c>
      <c r="M64" s="4">
        <f t="shared" si="6"/>
        <v>26122.363808130209</v>
      </c>
      <c r="N64" s="4">
        <f t="shared" si="7"/>
        <v>25043.704044157763</v>
      </c>
      <c r="O64" s="4">
        <f t="shared" si="8"/>
        <v>1078.6597639724459</v>
      </c>
    </row>
    <row r="65" spans="1:15" x14ac:dyDescent="0.25">
      <c r="A65" s="4">
        <f>'Data - SKU Detail'!A54</f>
        <v>2</v>
      </c>
      <c r="B65" s="4">
        <f>'Data - SKU Detail'!B54</f>
        <v>3</v>
      </c>
      <c r="C65" s="4">
        <f>'Data - SKU Detail'!C54</f>
        <v>767.06</v>
      </c>
      <c r="D65" s="4">
        <f>'Data - SKU Detail'!F54</f>
        <v>19250</v>
      </c>
      <c r="E65" s="4">
        <f t="shared" si="0"/>
        <v>153.41200000000001</v>
      </c>
      <c r="F65" s="4">
        <f t="shared" si="1"/>
        <v>433.84173731774092</v>
      </c>
      <c r="G65" s="4">
        <f>'Data - SKU Detail'!G54</f>
        <v>11.2908175486695</v>
      </c>
      <c r="H65" s="4">
        <f>'Data - SKU Detail'!H54</f>
        <v>7.3904346772301004</v>
      </c>
      <c r="I65" s="4">
        <f t="shared" si="2"/>
        <v>49.136211264287155</v>
      </c>
      <c r="J65" s="4">
        <f t="shared" si="3"/>
        <v>32.162237860099324</v>
      </c>
      <c r="K65" s="4">
        <f t="shared" si="4"/>
        <v>266.05707992315763</v>
      </c>
      <c r="L65" s="4">
        <f t="shared" si="5"/>
        <v>249.08310651896977</v>
      </c>
      <c r="M65" s="4">
        <f t="shared" si="6"/>
        <v>40816.348745171461</v>
      </c>
      <c r="N65" s="4">
        <f t="shared" si="7"/>
        <v>38212.337537288193</v>
      </c>
      <c r="O65" s="4">
        <f t="shared" si="8"/>
        <v>2604.0112078832681</v>
      </c>
    </row>
    <row r="66" spans="1:15" x14ac:dyDescent="0.25">
      <c r="A66" s="4">
        <f>'Data - SKU Detail'!A55</f>
        <v>2</v>
      </c>
      <c r="B66" s="4">
        <f>'Data - SKU Detail'!B55</f>
        <v>4</v>
      </c>
      <c r="C66" s="4">
        <f>'Data - SKU Detail'!C55</f>
        <v>1783.76</v>
      </c>
      <c r="D66" s="4">
        <f>'Data - SKU Detail'!F55</f>
        <v>11526</v>
      </c>
      <c r="E66" s="4">
        <f t="shared" si="0"/>
        <v>356.75200000000001</v>
      </c>
      <c r="F66" s="4">
        <f t="shared" si="1"/>
        <v>220.14140244908921</v>
      </c>
      <c r="G66" s="4">
        <f>'Data - SKU Detail'!G55</f>
        <v>7.6270807160044702</v>
      </c>
      <c r="H66" s="4">
        <f>'Data - SKU Detail'!H55</f>
        <v>5.4020508677263503</v>
      </c>
      <c r="I66" s="4">
        <f t="shared" si="2"/>
        <v>33.192091518255765</v>
      </c>
      <c r="J66" s="4">
        <f t="shared" si="3"/>
        <v>23.509042773284961</v>
      </c>
      <c r="K66" s="4">
        <f t="shared" si="4"/>
        <v>143.26279274280037</v>
      </c>
      <c r="L66" s="4">
        <f t="shared" si="5"/>
        <v>133.57974399782955</v>
      </c>
      <c r="M66" s="4">
        <f t="shared" si="6"/>
        <v>51109.287836579519</v>
      </c>
      <c r="N66" s="4">
        <f t="shared" si="7"/>
        <v>47654.840830713692</v>
      </c>
      <c r="O66" s="4">
        <f t="shared" si="8"/>
        <v>3454.4470058658262</v>
      </c>
    </row>
    <row r="67" spans="1:15" x14ac:dyDescent="0.25">
      <c r="A67" s="4">
        <f>'Data - SKU Detail'!A56</f>
        <v>2</v>
      </c>
      <c r="B67" s="4">
        <f>'Data - SKU Detail'!B56</f>
        <v>5</v>
      </c>
      <c r="C67" s="4">
        <f>'Data - SKU Detail'!C56</f>
        <v>2500</v>
      </c>
      <c r="D67" s="4">
        <f>'Data - SKU Detail'!F56</f>
        <v>9572</v>
      </c>
      <c r="E67" s="4">
        <f t="shared" si="0"/>
        <v>500</v>
      </c>
      <c r="F67" s="4">
        <f t="shared" si="1"/>
        <v>169.45795938816212</v>
      </c>
      <c r="G67" s="4">
        <f>'Data - SKU Detail'!G56</f>
        <v>7.9581066854022904</v>
      </c>
      <c r="H67" s="4">
        <f>'Data - SKU Detail'!H56</f>
        <v>4.9551024878361902</v>
      </c>
      <c r="I67" s="4">
        <f t="shared" si="2"/>
        <v>34.632674708638945</v>
      </c>
      <c r="J67" s="4">
        <f t="shared" si="3"/>
        <v>21.563979900393026</v>
      </c>
      <c r="K67" s="4">
        <f t="shared" si="4"/>
        <v>119.36165440272001</v>
      </c>
      <c r="L67" s="4">
        <f t="shared" si="5"/>
        <v>106.29295959447408</v>
      </c>
      <c r="M67" s="4">
        <f t="shared" si="6"/>
        <v>59680.82720136</v>
      </c>
      <c r="N67" s="4">
        <f t="shared" si="7"/>
        <v>53146.479797237043</v>
      </c>
      <c r="O67" s="4">
        <f t="shared" si="8"/>
        <v>6534.3474041229565</v>
      </c>
    </row>
    <row r="68" spans="1:15" x14ac:dyDescent="0.25">
      <c r="A68" s="4">
        <f>'Data - SKU Detail'!A57</f>
        <v>2</v>
      </c>
      <c r="B68" s="4">
        <f>'Data - SKU Detail'!B57</f>
        <v>6</v>
      </c>
      <c r="C68" s="4">
        <f>'Data - SKU Detail'!C57</f>
        <v>278.63</v>
      </c>
      <c r="D68" s="4">
        <f>'Data - SKU Detail'!F57</f>
        <v>30721</v>
      </c>
      <c r="E68" s="4">
        <f t="shared" si="0"/>
        <v>55.725999999999999</v>
      </c>
      <c r="F68" s="4">
        <f t="shared" si="1"/>
        <v>909.3569039848793</v>
      </c>
      <c r="G68" s="4">
        <f>'Data - SKU Detail'!G57</f>
        <v>15.255492537317201</v>
      </c>
      <c r="H68" s="4">
        <f>'Data - SKU Detail'!H57</f>
        <v>10.6344080449577</v>
      </c>
      <c r="I68" s="4">
        <f t="shared" si="2"/>
        <v>66.389975838614617</v>
      </c>
      <c r="J68" s="4">
        <f t="shared" si="3"/>
        <v>46.27960004802766</v>
      </c>
      <c r="K68" s="4">
        <f t="shared" si="4"/>
        <v>521.06842783105424</v>
      </c>
      <c r="L68" s="4">
        <f t="shared" si="5"/>
        <v>500.95805204046729</v>
      </c>
      <c r="M68" s="4">
        <f t="shared" si="6"/>
        <v>29037.059209313327</v>
      </c>
      <c r="N68" s="4">
        <f t="shared" si="7"/>
        <v>27916.388408007078</v>
      </c>
      <c r="O68" s="4">
        <f t="shared" si="8"/>
        <v>1120.6708013062489</v>
      </c>
    </row>
    <row r="69" spans="1:15" x14ac:dyDescent="0.25">
      <c r="A69" s="4">
        <f>'Data - SKU Detail'!A58</f>
        <v>2</v>
      </c>
      <c r="B69" s="4">
        <f>'Data - SKU Detail'!B58</f>
        <v>7</v>
      </c>
      <c r="C69" s="4">
        <f>'Data - SKU Detail'!C58</f>
        <v>256.08</v>
      </c>
      <c r="D69" s="4">
        <f>'Data - SKU Detail'!F58</f>
        <v>30587</v>
      </c>
      <c r="E69" s="4">
        <f t="shared" si="0"/>
        <v>51.216000000000001</v>
      </c>
      <c r="F69" s="4">
        <f t="shared" si="1"/>
        <v>946.47956700561565</v>
      </c>
      <c r="G69" s="4">
        <f>'Data - SKU Detail'!G58</f>
        <v>14.7249142887907</v>
      </c>
      <c r="H69" s="4">
        <f>'Data - SKU Detail'!H58</f>
        <v>9.4962872468671602</v>
      </c>
      <c r="I69" s="4">
        <f t="shared" si="2"/>
        <v>64.080966344886178</v>
      </c>
      <c r="J69" s="4">
        <f t="shared" si="3"/>
        <v>41.326642147663236</v>
      </c>
      <c r="K69" s="4">
        <f t="shared" si="4"/>
        <v>537.32074984769406</v>
      </c>
      <c r="L69" s="4">
        <f t="shared" si="5"/>
        <v>514.56642565047105</v>
      </c>
      <c r="M69" s="4">
        <f t="shared" si="6"/>
        <v>27519.4195241995</v>
      </c>
      <c r="N69" s="4">
        <f t="shared" si="7"/>
        <v>26354.034056114524</v>
      </c>
      <c r="O69" s="4">
        <f t="shared" si="8"/>
        <v>1165.3854680849763</v>
      </c>
    </row>
    <row r="70" spans="1:15" x14ac:dyDescent="0.25">
      <c r="A70" s="4">
        <f>'Data - SKU Detail'!A59</f>
        <v>2</v>
      </c>
      <c r="B70" s="4">
        <f>'Data - SKU Detail'!B59</f>
        <v>8</v>
      </c>
      <c r="C70" s="4">
        <f>'Data - SKU Detail'!C59</f>
        <v>85.49</v>
      </c>
      <c r="D70" s="4">
        <f>'Data - SKU Detail'!F59</f>
        <v>40008</v>
      </c>
      <c r="E70" s="4">
        <f t="shared" si="0"/>
        <v>17.097999999999999</v>
      </c>
      <c r="F70" s="4">
        <f t="shared" si="1"/>
        <v>1873.4684937255026</v>
      </c>
      <c r="G70" s="4">
        <f>'Data - SKU Detail'!G59</f>
        <v>17.5895361545128</v>
      </c>
      <c r="H70" s="4">
        <f>'Data - SKU Detail'!H59</f>
        <v>11.211597528524701</v>
      </c>
      <c r="I70" s="4">
        <f t="shared" si="2"/>
        <v>76.547438730936221</v>
      </c>
      <c r="J70" s="4">
        <f t="shared" si="3"/>
        <v>48.791455746857459</v>
      </c>
      <c r="K70" s="4">
        <f t="shared" si="4"/>
        <v>1013.2816855936876</v>
      </c>
      <c r="L70" s="4">
        <f t="shared" si="5"/>
        <v>985.52570260960874</v>
      </c>
      <c r="M70" s="4">
        <f t="shared" si="6"/>
        <v>17325.090260280871</v>
      </c>
      <c r="N70" s="4">
        <f t="shared" si="7"/>
        <v>16850.51846321909</v>
      </c>
      <c r="O70" s="4">
        <f t="shared" si="8"/>
        <v>474.57179706178067</v>
      </c>
    </row>
    <row r="71" spans="1:15" x14ac:dyDescent="0.25">
      <c r="A71" s="4">
        <f>'Data - SKU Detail'!A60</f>
        <v>2</v>
      </c>
      <c r="B71" s="4">
        <f>'Data - SKU Detail'!B60</f>
        <v>9</v>
      </c>
      <c r="C71" s="4">
        <f>'Data - SKU Detail'!C60</f>
        <v>303.16000000000003</v>
      </c>
      <c r="D71" s="4">
        <f>'Data - SKU Detail'!F60</f>
        <v>26667</v>
      </c>
      <c r="E71" s="4">
        <f t="shared" si="0"/>
        <v>60.632000000000005</v>
      </c>
      <c r="F71" s="4">
        <f t="shared" si="1"/>
        <v>812.23511825100672</v>
      </c>
      <c r="G71" s="4">
        <f>'Data - SKU Detail'!G60</f>
        <v>14.7838180346229</v>
      </c>
      <c r="H71" s="4">
        <f>'Data - SKU Detail'!H60</f>
        <v>8.87222822409516</v>
      </c>
      <c r="I71" s="4">
        <f t="shared" si="2"/>
        <v>64.337308003671552</v>
      </c>
      <c r="J71" s="4">
        <f t="shared" si="3"/>
        <v>38.610816136647493</v>
      </c>
      <c r="K71" s="4">
        <f t="shared" si="4"/>
        <v>470.45486712917489</v>
      </c>
      <c r="L71" s="4">
        <f t="shared" si="5"/>
        <v>444.72837526215085</v>
      </c>
      <c r="M71" s="4">
        <f t="shared" si="6"/>
        <v>28524.619503776135</v>
      </c>
      <c r="N71" s="4">
        <f t="shared" si="7"/>
        <v>26964.770848894732</v>
      </c>
      <c r="O71" s="4">
        <f t="shared" si="8"/>
        <v>1559.8486548814035</v>
      </c>
    </row>
    <row r="72" spans="1:15" x14ac:dyDescent="0.25">
      <c r="A72" s="4">
        <f>'Data - SKU Detail'!A61</f>
        <v>2</v>
      </c>
      <c r="B72" s="4">
        <f>'Data - SKU Detail'!B61</f>
        <v>10</v>
      </c>
      <c r="C72" s="4">
        <f>'Data - SKU Detail'!C61</f>
        <v>93.02</v>
      </c>
      <c r="D72" s="4">
        <f>'Data - SKU Detail'!F61</f>
        <v>38433</v>
      </c>
      <c r="E72" s="4">
        <f t="shared" si="0"/>
        <v>18.603999999999999</v>
      </c>
      <c r="F72" s="4">
        <f t="shared" si="1"/>
        <v>1760.3320942134376</v>
      </c>
      <c r="G72" s="4">
        <f>'Data - SKU Detail'!G61</f>
        <v>18.2755721134148</v>
      </c>
      <c r="H72" s="4">
        <f>'Data - SKU Detail'!H61</f>
        <v>12.236721658774499</v>
      </c>
      <c r="I72" s="4">
        <f t="shared" si="2"/>
        <v>79.532980536585072</v>
      </c>
      <c r="J72" s="4">
        <f t="shared" si="3"/>
        <v>53.25266642703609</v>
      </c>
      <c r="K72" s="4">
        <f t="shared" si="4"/>
        <v>959.69902764330391</v>
      </c>
      <c r="L72" s="4">
        <f t="shared" si="5"/>
        <v>933.41871353375484</v>
      </c>
      <c r="M72" s="4">
        <f t="shared" si="6"/>
        <v>17854.240710276026</v>
      </c>
      <c r="N72" s="4">
        <f t="shared" si="7"/>
        <v>17365.321746581973</v>
      </c>
      <c r="O72" s="4">
        <f t="shared" si="8"/>
        <v>488.91896369405367</v>
      </c>
    </row>
    <row r="73" spans="1:15" x14ac:dyDescent="0.25">
      <c r="A73" s="4">
        <f>'Data - SKU Detail'!A62</f>
        <v>2</v>
      </c>
      <c r="B73" s="4">
        <f>'Data - SKU Detail'!B62</f>
        <v>11</v>
      </c>
      <c r="C73" s="4">
        <f>'Data - SKU Detail'!C62</f>
        <v>101.21</v>
      </c>
      <c r="D73" s="4">
        <f>'Data - SKU Detail'!F62</f>
        <v>36642</v>
      </c>
      <c r="E73" s="4">
        <f t="shared" si="0"/>
        <v>20.242000000000001</v>
      </c>
      <c r="F73" s="4">
        <f t="shared" si="1"/>
        <v>1647.8151993870235</v>
      </c>
      <c r="G73" s="4">
        <f>'Data - SKU Detail'!G62</f>
        <v>17.274832904756099</v>
      </c>
      <c r="H73" s="4">
        <f>'Data - SKU Detail'!H62</f>
        <v>11.2064789140931</v>
      </c>
      <c r="I73" s="4">
        <f t="shared" si="2"/>
        <v>75.177889953892603</v>
      </c>
      <c r="J73" s="4">
        <f t="shared" si="3"/>
        <v>48.769180183639165</v>
      </c>
      <c r="K73" s="4">
        <f t="shared" si="4"/>
        <v>899.08548964740442</v>
      </c>
      <c r="L73" s="4">
        <f t="shared" si="5"/>
        <v>872.67677987715092</v>
      </c>
      <c r="M73" s="4">
        <f t="shared" si="6"/>
        <v>18199.28848144276</v>
      </c>
      <c r="N73" s="4">
        <f t="shared" si="7"/>
        <v>17664.723378273291</v>
      </c>
      <c r="O73" s="4">
        <f t="shared" si="8"/>
        <v>534.56510316946878</v>
      </c>
    </row>
    <row r="74" spans="1:15" x14ac:dyDescent="0.25">
      <c r="A74" s="4">
        <f>'Data - SKU Detail'!A63</f>
        <v>2</v>
      </c>
      <c r="B74" s="4">
        <f>'Data - SKU Detail'!B63</f>
        <v>12</v>
      </c>
      <c r="C74" s="4">
        <f>'Data - SKU Detail'!C63</f>
        <v>110.12</v>
      </c>
      <c r="D74" s="4">
        <f>'Data - SKU Detail'!F63</f>
        <v>36331</v>
      </c>
      <c r="E74" s="4">
        <f t="shared" si="0"/>
        <v>22.024000000000001</v>
      </c>
      <c r="F74" s="4">
        <f t="shared" si="1"/>
        <v>1573.027105721957</v>
      </c>
      <c r="G74" s="4">
        <f>'Data - SKU Detail'!G63</f>
        <v>17.265111926171201</v>
      </c>
      <c r="H74" s="4">
        <f>'Data - SKU Detail'!H63</f>
        <v>10.5435199599572</v>
      </c>
      <c r="I74" s="4">
        <f t="shared" si="2"/>
        <v>75.135585483433829</v>
      </c>
      <c r="J74" s="4">
        <f t="shared" si="3"/>
        <v>45.884066586722426</v>
      </c>
      <c r="K74" s="4">
        <f t="shared" si="4"/>
        <v>861.64913834441234</v>
      </c>
      <c r="L74" s="4">
        <f t="shared" si="5"/>
        <v>832.39761944770089</v>
      </c>
      <c r="M74" s="4">
        <f t="shared" si="6"/>
        <v>18976.960622897339</v>
      </c>
      <c r="N74" s="4">
        <f t="shared" si="7"/>
        <v>18332.725170716167</v>
      </c>
      <c r="O74" s="4">
        <f t="shared" si="8"/>
        <v>644.23545218117215</v>
      </c>
    </row>
    <row r="75" spans="1:15" x14ac:dyDescent="0.25">
      <c r="A75" s="4">
        <f>'Data - SKU Detail'!A64</f>
        <v>2</v>
      </c>
      <c r="B75" s="4">
        <f>'Data - SKU Detail'!B64</f>
        <v>13</v>
      </c>
      <c r="C75" s="4">
        <f>'Data - SKU Detail'!C64</f>
        <v>47.35</v>
      </c>
      <c r="D75" s="4">
        <f>'Data - SKU Detail'!F64</f>
        <v>43902</v>
      </c>
      <c r="E75" s="4">
        <f t="shared" si="0"/>
        <v>9.4700000000000006</v>
      </c>
      <c r="F75" s="4">
        <f t="shared" si="1"/>
        <v>2637.0161692077554</v>
      </c>
      <c r="G75" s="4">
        <f>'Data - SKU Detail'!G64</f>
        <v>16.988599645552501</v>
      </c>
      <c r="H75" s="4">
        <f>'Data - SKU Detail'!H64</f>
        <v>11.385992634671</v>
      </c>
      <c r="I75" s="4">
        <f t="shared" si="2"/>
        <v>73.932238978268543</v>
      </c>
      <c r="J75" s="4">
        <f t="shared" si="3"/>
        <v>49.550401212243358</v>
      </c>
      <c r="K75" s="4">
        <f t="shared" si="4"/>
        <v>1392.4403235821462</v>
      </c>
      <c r="L75" s="4">
        <f t="shared" si="5"/>
        <v>1368.058485816121</v>
      </c>
      <c r="M75" s="4">
        <f t="shared" si="6"/>
        <v>13186.409864322926</v>
      </c>
      <c r="N75" s="4">
        <f t="shared" si="7"/>
        <v>12955.513860678666</v>
      </c>
      <c r="O75" s="4">
        <f t="shared" si="8"/>
        <v>230.89600364426042</v>
      </c>
    </row>
    <row r="76" spans="1:15" x14ac:dyDescent="0.25">
      <c r="A76" s="4">
        <f>'Data - SKU Detail'!A65</f>
        <v>2</v>
      </c>
      <c r="B76" s="4">
        <f>'Data - SKU Detail'!B65</f>
        <v>14</v>
      </c>
      <c r="C76" s="4">
        <f>'Data - SKU Detail'!C65</f>
        <v>182.71</v>
      </c>
      <c r="D76" s="4">
        <f>'Data - SKU Detail'!F65</f>
        <v>30684</v>
      </c>
      <c r="E76" s="4">
        <f t="shared" si="0"/>
        <v>36.542000000000002</v>
      </c>
      <c r="F76" s="4">
        <f t="shared" si="1"/>
        <v>1122.2909476407967</v>
      </c>
      <c r="G76" s="4">
        <f>'Data - SKU Detail'!G65</f>
        <v>12.672785736678399</v>
      </c>
      <c r="H76" s="4">
        <f>'Data - SKU Detail'!H65</f>
        <v>8.6944338954799498</v>
      </c>
      <c r="I76" s="4">
        <f t="shared" si="2"/>
        <v>55.150362193024051</v>
      </c>
      <c r="J76" s="4">
        <f t="shared" si="3"/>
        <v>37.837077684602583</v>
      </c>
      <c r="K76" s="4">
        <f t="shared" si="4"/>
        <v>616.29583601342244</v>
      </c>
      <c r="L76" s="4">
        <f t="shared" si="5"/>
        <v>598.98255150500097</v>
      </c>
      <c r="M76" s="4">
        <f t="shared" si="6"/>
        <v>22520.682439602482</v>
      </c>
      <c r="N76" s="4">
        <f t="shared" si="7"/>
        <v>21888.020397095748</v>
      </c>
      <c r="O76" s="4">
        <f t="shared" si="8"/>
        <v>632.662042506734</v>
      </c>
    </row>
    <row r="77" spans="1:15" x14ac:dyDescent="0.25">
      <c r="A77" s="4">
        <f>'Data - SKU Detail'!A66</f>
        <v>2</v>
      </c>
      <c r="B77" s="4">
        <f>'Data - SKU Detail'!B66</f>
        <v>15</v>
      </c>
      <c r="C77" s="4">
        <f>'Data - SKU Detail'!C66</f>
        <v>40</v>
      </c>
      <c r="D77" s="4">
        <f>'Data - SKU Detail'!F66</f>
        <v>45814</v>
      </c>
      <c r="E77" s="4">
        <f t="shared" ref="E77:E140" si="9">C77*$B$6</f>
        <v>8</v>
      </c>
      <c r="F77" s="4">
        <f t="shared" ref="F77:F140" si="10">SQRT(2*D77*$B$5/E77)</f>
        <v>2930.8915025978017</v>
      </c>
      <c r="G77" s="4">
        <f>'Data - SKU Detail'!G66</f>
        <v>17.973011566464699</v>
      </c>
      <c r="H77" s="4">
        <f>'Data - SKU Detail'!H66</f>
        <v>11.191198357725099</v>
      </c>
      <c r="I77" s="4">
        <f t="shared" ref="I77:I140" si="11">$B$9*G77*SQRT($B$7)</f>
        <v>78.21627526780405</v>
      </c>
      <c r="J77" s="4">
        <f t="shared" ref="J77:J140" si="12">$B$9*H77*SQRT($B$7)</f>
        <v>48.702681133176483</v>
      </c>
      <c r="K77" s="4">
        <f t="shared" ref="K77:K140" si="13">F77/2+I77</f>
        <v>1543.662026566705</v>
      </c>
      <c r="L77" s="4">
        <f t="shared" ref="L77:L140" si="14">F77/2+J77</f>
        <v>1514.1484324320772</v>
      </c>
      <c r="M77" s="4">
        <f t="shared" ref="M77:M140" si="15">K77*E77</f>
        <v>12349.29621253364</v>
      </c>
      <c r="N77" s="4">
        <f t="shared" ref="N77:N140" si="16">L77*E77</f>
        <v>12113.187459456618</v>
      </c>
      <c r="O77" s="4">
        <f t="shared" ref="O77:O140" si="17">M77-N77</f>
        <v>236.1087530770219</v>
      </c>
    </row>
    <row r="78" spans="1:15" x14ac:dyDescent="0.25">
      <c r="A78" s="4">
        <f>'Data - SKU Detail'!A67</f>
        <v>2</v>
      </c>
      <c r="B78" s="4">
        <f>'Data - SKU Detail'!B67</f>
        <v>16</v>
      </c>
      <c r="C78" s="4">
        <f>'Data - SKU Detail'!C67</f>
        <v>1506.73</v>
      </c>
      <c r="D78" s="4">
        <f>'Data - SKU Detail'!F67</f>
        <v>13533</v>
      </c>
      <c r="E78" s="4">
        <f t="shared" si="9"/>
        <v>301.346</v>
      </c>
      <c r="F78" s="4">
        <f t="shared" si="10"/>
        <v>259.54337927300253</v>
      </c>
      <c r="G78" s="4">
        <f>'Data - SKU Detail'!G67</f>
        <v>10.117229725318101</v>
      </c>
      <c r="H78" s="4">
        <f>'Data - SKU Detail'!H67</f>
        <v>6.6369260285185598</v>
      </c>
      <c r="I78" s="4">
        <f t="shared" si="11"/>
        <v>44.028905351600216</v>
      </c>
      <c r="J78" s="4">
        <f t="shared" si="12"/>
        <v>28.883063434247344</v>
      </c>
      <c r="K78" s="4">
        <f t="shared" si="13"/>
        <v>173.80059498810147</v>
      </c>
      <c r="L78" s="4">
        <f t="shared" si="14"/>
        <v>158.6547530707486</v>
      </c>
      <c r="M78" s="4">
        <f t="shared" si="15"/>
        <v>52374.114097284422</v>
      </c>
      <c r="N78" s="4">
        <f t="shared" si="16"/>
        <v>47809.975218857806</v>
      </c>
      <c r="O78" s="4">
        <f t="shared" si="17"/>
        <v>4564.1388784266164</v>
      </c>
    </row>
    <row r="79" spans="1:15" x14ac:dyDescent="0.25">
      <c r="A79" s="4">
        <f>'Data - SKU Detail'!A68</f>
        <v>2</v>
      </c>
      <c r="B79" s="4">
        <f>'Data - SKU Detail'!B68</f>
        <v>17</v>
      </c>
      <c r="C79" s="4">
        <f>'Data - SKU Detail'!C68</f>
        <v>834.61</v>
      </c>
      <c r="D79" s="4">
        <f>'Data - SKU Detail'!F68</f>
        <v>17209</v>
      </c>
      <c r="E79" s="4">
        <f t="shared" si="9"/>
        <v>166.92200000000003</v>
      </c>
      <c r="F79" s="4">
        <f t="shared" si="10"/>
        <v>393.24812175187759</v>
      </c>
      <c r="G79" s="4">
        <f>'Data - SKU Detail'!G68</f>
        <v>11.2702702663995</v>
      </c>
      <c r="H79" s="4">
        <f>'Data - SKU Detail'!H68</f>
        <v>7.1440045894760402</v>
      </c>
      <c r="I79" s="4">
        <f t="shared" si="11"/>
        <v>49.046792088202373</v>
      </c>
      <c r="J79" s="4">
        <f t="shared" si="12"/>
        <v>31.089805257095556</v>
      </c>
      <c r="K79" s="4">
        <f t="shared" si="13"/>
        <v>245.67085296414118</v>
      </c>
      <c r="L79" s="4">
        <f t="shared" si="14"/>
        <v>227.71386613303434</v>
      </c>
      <c r="M79" s="4">
        <f t="shared" si="15"/>
        <v>41007.870118480379</v>
      </c>
      <c r="N79" s="4">
        <f t="shared" si="16"/>
        <v>38010.453962658365</v>
      </c>
      <c r="O79" s="4">
        <f t="shared" si="17"/>
        <v>2997.4161558220148</v>
      </c>
    </row>
    <row r="80" spans="1:15" x14ac:dyDescent="0.25">
      <c r="A80" s="4">
        <f>'Data - SKU Detail'!A69</f>
        <v>2</v>
      </c>
      <c r="B80" s="4">
        <f>'Data - SKU Detail'!B69</f>
        <v>18</v>
      </c>
      <c r="C80" s="4">
        <f>'Data - SKU Detail'!C69</f>
        <v>51.52</v>
      </c>
      <c r="D80" s="4">
        <f>'Data - SKU Detail'!F69</f>
        <v>44297</v>
      </c>
      <c r="E80" s="4">
        <f t="shared" si="9"/>
        <v>10.304000000000002</v>
      </c>
      <c r="F80" s="4">
        <f t="shared" si="10"/>
        <v>2539.3926714377103</v>
      </c>
      <c r="G80" s="4">
        <f>'Data - SKU Detail'!G69</f>
        <v>18.192394309225499</v>
      </c>
      <c r="H80" s="4">
        <f>'Data - SKU Detail'!H69</f>
        <v>10.910325824629799</v>
      </c>
      <c r="I80" s="4">
        <f t="shared" si="11"/>
        <v>79.171001243099226</v>
      </c>
      <c r="J80" s="4">
        <f t="shared" si="12"/>
        <v>47.480359360194463</v>
      </c>
      <c r="K80" s="4">
        <f t="shared" si="13"/>
        <v>1348.8673369619544</v>
      </c>
      <c r="L80" s="4">
        <f t="shared" si="14"/>
        <v>1317.1766950790495</v>
      </c>
      <c r="M80" s="4">
        <f t="shared" si="15"/>
        <v>13898.729040055981</v>
      </c>
      <c r="N80" s="4">
        <f t="shared" si="16"/>
        <v>13572.188666094529</v>
      </c>
      <c r="O80" s="4">
        <f t="shared" si="17"/>
        <v>326.54037396145213</v>
      </c>
    </row>
    <row r="81" spans="1:15" x14ac:dyDescent="0.25">
      <c r="A81" s="4">
        <f>'Data - SKU Detail'!A70</f>
        <v>2</v>
      </c>
      <c r="B81" s="4">
        <f>'Data - SKU Detail'!B70</f>
        <v>19</v>
      </c>
      <c r="C81" s="4">
        <f>'Data - SKU Detail'!C70</f>
        <v>547.29999999999995</v>
      </c>
      <c r="D81" s="4">
        <f>'Data - SKU Detail'!F70</f>
        <v>21170</v>
      </c>
      <c r="E81" s="4">
        <f t="shared" si="9"/>
        <v>109.46</v>
      </c>
      <c r="F81" s="4">
        <f t="shared" si="10"/>
        <v>538.61486684393492</v>
      </c>
      <c r="G81" s="4">
        <f>'Data - SKU Detail'!G70</f>
        <v>12.3537019255819</v>
      </c>
      <c r="H81" s="4">
        <f>'Data - SKU Detail'!H70</f>
        <v>7.5609892230274998</v>
      </c>
      <c r="I81" s="4">
        <f t="shared" si="11"/>
        <v>53.76174976655728</v>
      </c>
      <c r="J81" s="4">
        <f t="shared" si="12"/>
        <v>32.904469692139969</v>
      </c>
      <c r="K81" s="4">
        <f t="shared" si="13"/>
        <v>323.06918318852473</v>
      </c>
      <c r="L81" s="4">
        <f t="shared" si="14"/>
        <v>302.21190311410743</v>
      </c>
      <c r="M81" s="4">
        <f t="shared" si="15"/>
        <v>35363.152791815912</v>
      </c>
      <c r="N81" s="4">
        <f t="shared" si="16"/>
        <v>33080.114914870195</v>
      </c>
      <c r="O81" s="4">
        <f t="shared" si="17"/>
        <v>2283.0378769457166</v>
      </c>
    </row>
    <row r="82" spans="1:15" x14ac:dyDescent="0.25">
      <c r="A82" s="4">
        <f>'Data - SKU Detail'!A71</f>
        <v>2</v>
      </c>
      <c r="B82" s="4">
        <f>'Data - SKU Detail'!B71</f>
        <v>20</v>
      </c>
      <c r="C82" s="4">
        <f>'Data - SKU Detail'!C71</f>
        <v>424.89</v>
      </c>
      <c r="D82" s="4">
        <f>'Data - SKU Detail'!F71</f>
        <v>24938</v>
      </c>
      <c r="E82" s="4">
        <f t="shared" si="9"/>
        <v>84.978000000000009</v>
      </c>
      <c r="F82" s="4">
        <f t="shared" si="10"/>
        <v>663.47289778677339</v>
      </c>
      <c r="G82" s="4">
        <f>'Data - SKU Detail'!G71</f>
        <v>10.821467401089899</v>
      </c>
      <c r="H82" s="4">
        <f>'Data - SKU Detail'!H71</f>
        <v>7.4789304410269404</v>
      </c>
      <c r="I82" s="4">
        <f t="shared" si="11"/>
        <v>47.093658729097776</v>
      </c>
      <c r="J82" s="4">
        <f t="shared" si="12"/>
        <v>32.547360241819895</v>
      </c>
      <c r="K82" s="4">
        <f t="shared" si="13"/>
        <v>378.83010762248449</v>
      </c>
      <c r="L82" s="4">
        <f t="shared" si="14"/>
        <v>364.28380913520658</v>
      </c>
      <c r="M82" s="4">
        <f t="shared" si="15"/>
        <v>32192.224885543492</v>
      </c>
      <c r="N82" s="4">
        <f t="shared" si="16"/>
        <v>30956.109532691589</v>
      </c>
      <c r="O82" s="4">
        <f t="shared" si="17"/>
        <v>1236.1153528519026</v>
      </c>
    </row>
    <row r="83" spans="1:15" x14ac:dyDescent="0.25">
      <c r="A83" s="4">
        <f>'Data - SKU Detail'!A72</f>
        <v>2</v>
      </c>
      <c r="B83" s="4">
        <f>'Data - SKU Detail'!B72</f>
        <v>21</v>
      </c>
      <c r="C83" s="4">
        <f>'Data - SKU Detail'!C72</f>
        <v>647.92999999999995</v>
      </c>
      <c r="D83" s="4">
        <f>'Data - SKU Detail'!F72</f>
        <v>20888</v>
      </c>
      <c r="E83" s="4">
        <f t="shared" si="9"/>
        <v>129.58599999999998</v>
      </c>
      <c r="F83" s="4">
        <f t="shared" si="10"/>
        <v>491.71676608602439</v>
      </c>
      <c r="G83" s="4">
        <f>'Data - SKU Detail'!G72</f>
        <v>13.9117929741416</v>
      </c>
      <c r="H83" s="4">
        <f>'Data - SKU Detail'!H72</f>
        <v>8.4643754166496805</v>
      </c>
      <c r="I83" s="4">
        <f t="shared" si="11"/>
        <v>60.542365129529443</v>
      </c>
      <c r="J83" s="4">
        <f t="shared" si="12"/>
        <v>36.83589225491891</v>
      </c>
      <c r="K83" s="4">
        <f t="shared" si="13"/>
        <v>306.40074817254163</v>
      </c>
      <c r="L83" s="4">
        <f t="shared" si="14"/>
        <v>282.69427529793109</v>
      </c>
      <c r="M83" s="4">
        <f t="shared" si="15"/>
        <v>39705.247352686973</v>
      </c>
      <c r="N83" s="4">
        <f t="shared" si="16"/>
        <v>36633.220358757695</v>
      </c>
      <c r="O83" s="4">
        <f t="shared" si="17"/>
        <v>3072.0269939292775</v>
      </c>
    </row>
    <row r="84" spans="1:15" x14ac:dyDescent="0.25">
      <c r="A84" s="4">
        <f>'Data - SKU Detail'!A73</f>
        <v>2</v>
      </c>
      <c r="B84" s="4">
        <f>'Data - SKU Detail'!B73</f>
        <v>22</v>
      </c>
      <c r="C84" s="4">
        <f>'Data - SKU Detail'!C73</f>
        <v>72.209999999999994</v>
      </c>
      <c r="D84" s="4">
        <f>'Data - SKU Detail'!F73</f>
        <v>41771</v>
      </c>
      <c r="E84" s="4">
        <f t="shared" si="9"/>
        <v>14.442</v>
      </c>
      <c r="F84" s="4">
        <f t="shared" si="10"/>
        <v>2082.9046782387809</v>
      </c>
      <c r="G84" s="4">
        <f>'Data - SKU Detail'!G73</f>
        <v>14.785369216125201</v>
      </c>
      <c r="H84" s="4">
        <f>'Data - SKU Detail'!H73</f>
        <v>11.000896760935699</v>
      </c>
      <c r="I84" s="4">
        <f t="shared" si="11"/>
        <v>64.344058549562291</v>
      </c>
      <c r="J84" s="4">
        <f t="shared" si="12"/>
        <v>47.874512630455698</v>
      </c>
      <c r="K84" s="4">
        <f t="shared" si="13"/>
        <v>1105.7963976689527</v>
      </c>
      <c r="L84" s="4">
        <f t="shared" si="14"/>
        <v>1089.3268517498461</v>
      </c>
      <c r="M84" s="4">
        <f t="shared" si="15"/>
        <v>15969.911575135016</v>
      </c>
      <c r="N84" s="4">
        <f t="shared" si="16"/>
        <v>15732.058392971277</v>
      </c>
      <c r="O84" s="4">
        <f t="shared" si="17"/>
        <v>237.85318216373889</v>
      </c>
    </row>
    <row r="85" spans="1:15" x14ac:dyDescent="0.25">
      <c r="A85" s="4">
        <f>'Data - SKU Detail'!A74</f>
        <v>2</v>
      </c>
      <c r="B85" s="4">
        <f>'Data - SKU Detail'!B74</f>
        <v>23</v>
      </c>
      <c r="C85" s="4">
        <f>'Data - SKU Detail'!C74</f>
        <v>1075.06</v>
      </c>
      <c r="D85" s="4">
        <f>'Data - SKU Detail'!F74</f>
        <v>15323</v>
      </c>
      <c r="E85" s="4">
        <f t="shared" si="9"/>
        <v>215.012</v>
      </c>
      <c r="F85" s="4">
        <f t="shared" si="10"/>
        <v>326.95364308197196</v>
      </c>
      <c r="G85" s="4">
        <f>'Data - SKU Detail'!G74</f>
        <v>9.7656914295399506</v>
      </c>
      <c r="H85" s="4">
        <f>'Data - SKU Detail'!H74</f>
        <v>6.33433696717643</v>
      </c>
      <c r="I85" s="4">
        <f t="shared" si="11"/>
        <v>42.499055108747065</v>
      </c>
      <c r="J85" s="4">
        <f t="shared" si="12"/>
        <v>27.566234074435286</v>
      </c>
      <c r="K85" s="4">
        <f t="shared" si="13"/>
        <v>205.97587664973304</v>
      </c>
      <c r="L85" s="4">
        <f t="shared" si="14"/>
        <v>191.04305561542128</v>
      </c>
      <c r="M85" s="4">
        <f t="shared" si="15"/>
        <v>44287.285190212402</v>
      </c>
      <c r="N85" s="4">
        <f t="shared" si="16"/>
        <v>41076.549473982959</v>
      </c>
      <c r="O85" s="4">
        <f t="shared" si="17"/>
        <v>3210.7357162294429</v>
      </c>
    </row>
    <row r="86" spans="1:15" x14ac:dyDescent="0.25">
      <c r="A86" s="4">
        <f>'Data - SKU Detail'!A75</f>
        <v>2</v>
      </c>
      <c r="B86" s="4">
        <f>'Data - SKU Detail'!B75</f>
        <v>24</v>
      </c>
      <c r="C86" s="4">
        <f>'Data - SKU Detail'!C75</f>
        <v>141.85</v>
      </c>
      <c r="D86" s="4">
        <f>'Data - SKU Detail'!F75</f>
        <v>34465</v>
      </c>
      <c r="E86" s="4">
        <f t="shared" si="9"/>
        <v>28.37</v>
      </c>
      <c r="F86" s="4">
        <f t="shared" si="10"/>
        <v>1349.9108966795802</v>
      </c>
      <c r="G86" s="4">
        <f>'Data - SKU Detail'!G75</f>
        <v>14.9628940635749</v>
      </c>
      <c r="H86" s="4">
        <f>'Data - SKU Detail'!H75</f>
        <v>9.1540901328405209</v>
      </c>
      <c r="I86" s="4">
        <f t="shared" si="11"/>
        <v>65.11662425362654</v>
      </c>
      <c r="J86" s="4">
        <f t="shared" si="12"/>
        <v>39.837443547441083</v>
      </c>
      <c r="K86" s="4">
        <f t="shared" si="13"/>
        <v>740.07207259341669</v>
      </c>
      <c r="L86" s="4">
        <f t="shared" si="14"/>
        <v>714.79289188723124</v>
      </c>
      <c r="M86" s="4">
        <f t="shared" si="15"/>
        <v>20995.844699475234</v>
      </c>
      <c r="N86" s="4">
        <f t="shared" si="16"/>
        <v>20278.67434284075</v>
      </c>
      <c r="O86" s="4">
        <f t="shared" si="17"/>
        <v>717.17035663448405</v>
      </c>
    </row>
    <row r="87" spans="1:15" x14ac:dyDescent="0.25">
      <c r="A87" s="4">
        <f>'Data - SKU Detail'!A76</f>
        <v>2</v>
      </c>
      <c r="B87" s="4">
        <f>'Data - SKU Detail'!B76</f>
        <v>25</v>
      </c>
      <c r="C87" s="4">
        <f>'Data - SKU Detail'!C76</f>
        <v>56.06</v>
      </c>
      <c r="D87" s="4">
        <f>'Data - SKU Detail'!F76</f>
        <v>41711</v>
      </c>
      <c r="E87" s="4">
        <f t="shared" si="9"/>
        <v>11.212000000000002</v>
      </c>
      <c r="F87" s="4">
        <f t="shared" si="10"/>
        <v>2362.269191506984</v>
      </c>
      <c r="G87" s="4">
        <f>'Data - SKU Detail'!G76</f>
        <v>18.6392052226755</v>
      </c>
      <c r="H87" s="4">
        <f>'Data - SKU Detail'!H76</f>
        <v>12.796974684213501</v>
      </c>
      <c r="I87" s="4">
        <f t="shared" si="11"/>
        <v>81.115465879413847</v>
      </c>
      <c r="J87" s="4">
        <f t="shared" si="12"/>
        <v>55.690816800183406</v>
      </c>
      <c r="K87" s="4">
        <f t="shared" si="13"/>
        <v>1262.250061632906</v>
      </c>
      <c r="L87" s="4">
        <f t="shared" si="14"/>
        <v>1236.8254125536755</v>
      </c>
      <c r="M87" s="4">
        <f t="shared" si="15"/>
        <v>14152.347691028144</v>
      </c>
      <c r="N87" s="4">
        <f t="shared" si="16"/>
        <v>13867.286525551812</v>
      </c>
      <c r="O87" s="4">
        <f t="shared" si="17"/>
        <v>285.06116547633246</v>
      </c>
    </row>
    <row r="88" spans="1:15" x14ac:dyDescent="0.25">
      <c r="A88" s="4">
        <f>'Data - SKU Detail'!A77</f>
        <v>2</v>
      </c>
      <c r="B88" s="4">
        <f>'Data - SKU Detail'!B77</f>
        <v>26</v>
      </c>
      <c r="C88" s="4">
        <f>'Data - SKU Detail'!C77</f>
        <v>390.5</v>
      </c>
      <c r="D88" s="4">
        <f>'Data - SKU Detail'!F77</f>
        <v>25166</v>
      </c>
      <c r="E88" s="4">
        <f t="shared" si="9"/>
        <v>78.100000000000009</v>
      </c>
      <c r="F88" s="4">
        <f t="shared" si="10"/>
        <v>695.22792622147119</v>
      </c>
      <c r="G88" s="4">
        <f>'Data - SKU Detail'!G77</f>
        <v>13.588884717456001</v>
      </c>
      <c r="H88" s="4">
        <f>'Data - SKU Detail'!H77</f>
        <v>8.8419068606366693</v>
      </c>
      <c r="I88" s="4">
        <f t="shared" si="11"/>
        <v>59.137109199115798</v>
      </c>
      <c r="J88" s="4">
        <f t="shared" si="12"/>
        <v>38.478861394283143</v>
      </c>
      <c r="K88" s="4">
        <f t="shared" si="13"/>
        <v>406.75107230985139</v>
      </c>
      <c r="L88" s="4">
        <f t="shared" si="14"/>
        <v>386.09282450501871</v>
      </c>
      <c r="M88" s="4">
        <f t="shared" si="15"/>
        <v>31767.258747399399</v>
      </c>
      <c r="N88" s="4">
        <f t="shared" si="16"/>
        <v>30153.849593841966</v>
      </c>
      <c r="O88" s="4">
        <f t="shared" si="17"/>
        <v>1613.4091535574335</v>
      </c>
    </row>
    <row r="89" spans="1:15" x14ac:dyDescent="0.25">
      <c r="A89" s="4">
        <f>'Data - SKU Detail'!A78</f>
        <v>2</v>
      </c>
      <c r="B89" s="4">
        <f>'Data - SKU Detail'!B78</f>
        <v>27</v>
      </c>
      <c r="C89" s="4">
        <f>'Data - SKU Detail'!C78</f>
        <v>1639.41</v>
      </c>
      <c r="D89" s="4">
        <f>'Data - SKU Detail'!F78</f>
        <v>11589</v>
      </c>
      <c r="E89" s="4">
        <f t="shared" si="9"/>
        <v>327.88200000000006</v>
      </c>
      <c r="F89" s="4">
        <f t="shared" si="10"/>
        <v>230.25539949431206</v>
      </c>
      <c r="G89" s="4">
        <f>'Data - SKU Detail'!G78</f>
        <v>6.9158480069359998</v>
      </c>
      <c r="H89" s="4">
        <f>'Data - SKU Detail'!H78</f>
        <v>5.3590854671309396</v>
      </c>
      <c r="I89" s="4">
        <f t="shared" si="11"/>
        <v>30.09689663974337</v>
      </c>
      <c r="J89" s="4">
        <f t="shared" si="12"/>
        <v>23.322062779001055</v>
      </c>
      <c r="K89" s="4">
        <f t="shared" si="13"/>
        <v>145.22459638689941</v>
      </c>
      <c r="L89" s="4">
        <f t="shared" si="14"/>
        <v>138.44976252615709</v>
      </c>
      <c r="M89" s="4">
        <f t="shared" si="15"/>
        <v>47616.531112529359</v>
      </c>
      <c r="N89" s="4">
        <f t="shared" si="16"/>
        <v>45395.185036601448</v>
      </c>
      <c r="O89" s="4">
        <f t="shared" si="17"/>
        <v>2221.3460759279114</v>
      </c>
    </row>
    <row r="90" spans="1:15" x14ac:dyDescent="0.25">
      <c r="A90" s="4">
        <f>'Data - SKU Detail'!A79</f>
        <v>2</v>
      </c>
      <c r="B90" s="4">
        <f>'Data - SKU Detail'!B79</f>
        <v>28</v>
      </c>
      <c r="C90" s="4">
        <f>'Data - SKU Detail'!C79</f>
        <v>43.52</v>
      </c>
      <c r="D90" s="4">
        <f>'Data - SKU Detail'!F79</f>
        <v>45559</v>
      </c>
      <c r="E90" s="4">
        <f t="shared" si="9"/>
        <v>8.7040000000000006</v>
      </c>
      <c r="F90" s="4">
        <f t="shared" si="10"/>
        <v>2802.0332199032146</v>
      </c>
      <c r="G90" s="4">
        <f>'Data - SKU Detail'!G79</f>
        <v>19.522032954180698</v>
      </c>
      <c r="H90" s="4">
        <f>'Data - SKU Detail'!H79</f>
        <v>12.315735410830399</v>
      </c>
      <c r="I90" s="4">
        <f t="shared" si="11"/>
        <v>84.957420612826638</v>
      </c>
      <c r="J90" s="4">
        <f t="shared" si="12"/>
        <v>53.596524291806936</v>
      </c>
      <c r="K90" s="4">
        <f t="shared" si="13"/>
        <v>1485.9740305644339</v>
      </c>
      <c r="L90" s="4">
        <f t="shared" si="14"/>
        <v>1454.6131342434142</v>
      </c>
      <c r="M90" s="4">
        <f t="shared" si="15"/>
        <v>12933.917962032834</v>
      </c>
      <c r="N90" s="4">
        <f t="shared" si="16"/>
        <v>12660.952720454678</v>
      </c>
      <c r="O90" s="4">
        <f t="shared" si="17"/>
        <v>272.96524157815657</v>
      </c>
    </row>
    <row r="91" spans="1:15" x14ac:dyDescent="0.25">
      <c r="A91" s="4">
        <f>'Data - SKU Detail'!A80</f>
        <v>2</v>
      </c>
      <c r="B91" s="4">
        <f>'Data - SKU Detail'!B80</f>
        <v>29</v>
      </c>
      <c r="C91" s="4">
        <f>'Data - SKU Detail'!C80</f>
        <v>119.82</v>
      </c>
      <c r="D91" s="4">
        <f>'Data - SKU Detail'!F80</f>
        <v>36228</v>
      </c>
      <c r="E91" s="4">
        <f t="shared" si="9"/>
        <v>23.963999999999999</v>
      </c>
      <c r="F91" s="4">
        <f t="shared" si="10"/>
        <v>1505.8723309815557</v>
      </c>
      <c r="G91" s="4">
        <f>'Data - SKU Detail'!G80</f>
        <v>17.101042429451901</v>
      </c>
      <c r="H91" s="4">
        <f>'Data - SKU Detail'!H80</f>
        <v>10.769060527836601</v>
      </c>
      <c r="I91" s="4">
        <f t="shared" si="11"/>
        <v>74.421575765530378</v>
      </c>
      <c r="J91" s="4">
        <f t="shared" si="12"/>
        <v>46.86559063883108</v>
      </c>
      <c r="K91" s="4">
        <f t="shared" si="13"/>
        <v>827.35774125630826</v>
      </c>
      <c r="L91" s="4">
        <f t="shared" si="14"/>
        <v>799.80175612960898</v>
      </c>
      <c r="M91" s="4">
        <f t="shared" si="15"/>
        <v>19826.800911466169</v>
      </c>
      <c r="N91" s="4">
        <f t="shared" si="16"/>
        <v>19166.44928388995</v>
      </c>
      <c r="O91" s="4">
        <f t="shared" si="17"/>
        <v>660.35162757621947</v>
      </c>
    </row>
    <row r="92" spans="1:15" x14ac:dyDescent="0.25">
      <c r="A92" s="4">
        <f>'Data - SKU Detail'!A81</f>
        <v>2</v>
      </c>
      <c r="B92" s="4">
        <f>'Data - SKU Detail'!B81</f>
        <v>30</v>
      </c>
      <c r="C92" s="4">
        <f>'Data - SKU Detail'!C81</f>
        <v>595.5</v>
      </c>
      <c r="D92" s="4">
        <f>'Data - SKU Detail'!F81</f>
        <v>21171</v>
      </c>
      <c r="E92" s="4">
        <f t="shared" si="9"/>
        <v>119.10000000000001</v>
      </c>
      <c r="F92" s="4">
        <f t="shared" si="10"/>
        <v>516.36932480248799</v>
      </c>
      <c r="G92" s="4">
        <f>'Data - SKU Detail'!G81</f>
        <v>10.6743034853463</v>
      </c>
      <c r="H92" s="4">
        <f>'Data - SKU Detail'!H81</f>
        <v>8.5106958158969697</v>
      </c>
      <c r="I92" s="4">
        <f t="shared" si="11"/>
        <v>46.453219963411641</v>
      </c>
      <c r="J92" s="4">
        <f t="shared" si="12"/>
        <v>37.037472779398215</v>
      </c>
      <c r="K92" s="4">
        <f t="shared" si="13"/>
        <v>304.63788236465564</v>
      </c>
      <c r="L92" s="4">
        <f t="shared" si="14"/>
        <v>295.22213518064223</v>
      </c>
      <c r="M92" s="4">
        <f t="shared" si="15"/>
        <v>36282.371789630488</v>
      </c>
      <c r="N92" s="4">
        <f t="shared" si="16"/>
        <v>35160.956300014492</v>
      </c>
      <c r="O92" s="4">
        <f t="shared" si="17"/>
        <v>1121.4154896159962</v>
      </c>
    </row>
    <row r="93" spans="1:15" x14ac:dyDescent="0.25">
      <c r="A93" s="4">
        <f>'Data - SKU Detail'!A82</f>
        <v>2</v>
      </c>
      <c r="B93" s="4">
        <f>'Data - SKU Detail'!B82</f>
        <v>31</v>
      </c>
      <c r="C93" s="4">
        <f>'Data - SKU Detail'!C82</f>
        <v>198.8</v>
      </c>
      <c r="D93" s="4">
        <f>'Data - SKU Detail'!F82</f>
        <v>30489</v>
      </c>
      <c r="E93" s="4">
        <f t="shared" si="9"/>
        <v>39.760000000000005</v>
      </c>
      <c r="F93" s="4">
        <f t="shared" si="10"/>
        <v>1072.491927056614</v>
      </c>
      <c r="G93" s="4">
        <f>'Data - SKU Detail'!G82</f>
        <v>14.7642850728498</v>
      </c>
      <c r="H93" s="4">
        <f>'Data - SKU Detail'!H82</f>
        <v>8.7302144255630694</v>
      </c>
      <c r="I93" s="4">
        <f t="shared" si="11"/>
        <v>64.252303022219749</v>
      </c>
      <c r="J93" s="4">
        <f t="shared" si="12"/>
        <v>37.992790030297115</v>
      </c>
      <c r="K93" s="4">
        <f t="shared" si="13"/>
        <v>600.49826655052675</v>
      </c>
      <c r="L93" s="4">
        <f t="shared" si="14"/>
        <v>574.23875355860412</v>
      </c>
      <c r="M93" s="4">
        <f t="shared" si="15"/>
        <v>23875.811078048948</v>
      </c>
      <c r="N93" s="4">
        <f t="shared" si="16"/>
        <v>22831.732841490102</v>
      </c>
      <c r="O93" s="4">
        <f t="shared" si="17"/>
        <v>1044.0782365588457</v>
      </c>
    </row>
    <row r="94" spans="1:15" x14ac:dyDescent="0.25">
      <c r="A94" s="4">
        <f>'Data - SKU Detail'!A83</f>
        <v>2</v>
      </c>
      <c r="B94" s="4">
        <f>'Data - SKU Detail'!B83</f>
        <v>32</v>
      </c>
      <c r="C94" s="4">
        <f>'Data - SKU Detail'!C83</f>
        <v>462.3</v>
      </c>
      <c r="D94" s="4">
        <f>'Data - SKU Detail'!F83</f>
        <v>23117</v>
      </c>
      <c r="E94" s="4">
        <f t="shared" si="9"/>
        <v>92.460000000000008</v>
      </c>
      <c r="F94" s="4">
        <f t="shared" si="10"/>
        <v>612.39892754913888</v>
      </c>
      <c r="G94" s="4">
        <f>'Data - SKU Detail'!G83</f>
        <v>14.9096017892369</v>
      </c>
      <c r="H94" s="4">
        <f>'Data - SKU Detail'!H83</f>
        <v>9.8023081968063099</v>
      </c>
      <c r="I94" s="4">
        <f t="shared" si="11"/>
        <v>64.884703009718478</v>
      </c>
      <c r="J94" s="4">
        <f t="shared" si="12"/>
        <v>42.658406652996142</v>
      </c>
      <c r="K94" s="4">
        <f t="shared" si="13"/>
        <v>371.0841667842879</v>
      </c>
      <c r="L94" s="4">
        <f t="shared" si="14"/>
        <v>348.85787042756556</v>
      </c>
      <c r="M94" s="4">
        <f t="shared" si="15"/>
        <v>34310.442060875263</v>
      </c>
      <c r="N94" s="4">
        <f t="shared" si="16"/>
        <v>32255.398699732716</v>
      </c>
      <c r="O94" s="4">
        <f t="shared" si="17"/>
        <v>2055.0433611425469</v>
      </c>
    </row>
    <row r="95" spans="1:15" x14ac:dyDescent="0.25">
      <c r="A95" s="4">
        <f>'Data - SKU Detail'!A84</f>
        <v>2</v>
      </c>
      <c r="B95" s="4">
        <f>'Data - SKU Detail'!B84</f>
        <v>33</v>
      </c>
      <c r="C95" s="4">
        <f>'Data - SKU Detail'!C84</f>
        <v>130.37</v>
      </c>
      <c r="D95" s="4">
        <f>'Data - SKU Detail'!F84</f>
        <v>36121</v>
      </c>
      <c r="E95" s="4">
        <f t="shared" si="9"/>
        <v>26.074000000000002</v>
      </c>
      <c r="F95" s="4">
        <f t="shared" si="10"/>
        <v>1441.523349846329</v>
      </c>
      <c r="G95" s="4">
        <f>'Data - SKU Detail'!G84</f>
        <v>16.956409643497299</v>
      </c>
      <c r="H95" s="4">
        <f>'Data - SKU Detail'!H84</f>
        <v>10.536403741431201</v>
      </c>
      <c r="I95" s="4">
        <f t="shared" si="11"/>
        <v>73.792152156852438</v>
      </c>
      <c r="J95" s="4">
        <f t="shared" si="12"/>
        <v>45.853097702902545</v>
      </c>
      <c r="K95" s="4">
        <f t="shared" si="13"/>
        <v>794.55382708001696</v>
      </c>
      <c r="L95" s="4">
        <f t="shared" si="14"/>
        <v>766.61477262606707</v>
      </c>
      <c r="M95" s="4">
        <f t="shared" si="15"/>
        <v>20717.196487284364</v>
      </c>
      <c r="N95" s="4">
        <f t="shared" si="16"/>
        <v>19988.713581452073</v>
      </c>
      <c r="O95" s="4">
        <f t="shared" si="17"/>
        <v>728.48290583229027</v>
      </c>
    </row>
    <row r="96" spans="1:15" x14ac:dyDescent="0.25">
      <c r="A96" s="4">
        <f>'Data - SKU Detail'!A85</f>
        <v>2</v>
      </c>
      <c r="B96" s="4">
        <f>'Data - SKU Detail'!B85</f>
        <v>34</v>
      </c>
      <c r="C96" s="4">
        <f>'Data - SKU Detail'!C85</f>
        <v>1384.8</v>
      </c>
      <c r="D96" s="4">
        <f>'Data - SKU Detail'!F85</f>
        <v>13393</v>
      </c>
      <c r="E96" s="4">
        <f t="shared" si="9"/>
        <v>276.95999999999998</v>
      </c>
      <c r="F96" s="4">
        <f t="shared" si="10"/>
        <v>269.32460941022231</v>
      </c>
      <c r="G96" s="4">
        <f>'Data - SKU Detail'!G85</f>
        <v>9.1920827916601109</v>
      </c>
      <c r="H96" s="4">
        <f>'Data - SKU Detail'!H85</f>
        <v>5.9039593008707101</v>
      </c>
      <c r="I96" s="4">
        <f t="shared" si="11"/>
        <v>40.002782797872186</v>
      </c>
      <c r="J96" s="4">
        <f t="shared" si="12"/>
        <v>25.693284853187734</v>
      </c>
      <c r="K96" s="4">
        <f t="shared" si="13"/>
        <v>174.66508750298334</v>
      </c>
      <c r="L96" s="4">
        <f t="shared" si="14"/>
        <v>160.3555895582989</v>
      </c>
      <c r="M96" s="4">
        <f t="shared" si="15"/>
        <v>48375.24263482626</v>
      </c>
      <c r="N96" s="4">
        <f t="shared" si="16"/>
        <v>44412.08408406646</v>
      </c>
      <c r="O96" s="4">
        <f t="shared" si="17"/>
        <v>3963.1585507597993</v>
      </c>
    </row>
    <row r="97" spans="1:15" x14ac:dyDescent="0.25">
      <c r="A97" s="4">
        <f>'Data - SKU Detail'!A86</f>
        <v>2</v>
      </c>
      <c r="B97" s="4">
        <f>'Data - SKU Detail'!B86</f>
        <v>35</v>
      </c>
      <c r="C97" s="4">
        <f>'Data - SKU Detail'!C86</f>
        <v>167.93</v>
      </c>
      <c r="D97" s="4">
        <f>'Data - SKU Detail'!F86</f>
        <v>34839</v>
      </c>
      <c r="E97" s="4">
        <f t="shared" si="9"/>
        <v>33.586000000000006</v>
      </c>
      <c r="F97" s="4">
        <f t="shared" si="10"/>
        <v>1247.3815843626544</v>
      </c>
      <c r="G97" s="4">
        <f>'Data - SKU Detail'!G86</f>
        <v>15.787812284240299</v>
      </c>
      <c r="H97" s="4">
        <f>'Data - SKU Detail'!H86</f>
        <v>9.6452264637661091</v>
      </c>
      <c r="I97" s="4">
        <f t="shared" si="11"/>
        <v>68.706564113309355</v>
      </c>
      <c r="J97" s="4">
        <f t="shared" si="12"/>
        <v>41.974806799650423</v>
      </c>
      <c r="K97" s="4">
        <f t="shared" si="13"/>
        <v>692.39735629463655</v>
      </c>
      <c r="L97" s="4">
        <f t="shared" si="14"/>
        <v>665.66559898097762</v>
      </c>
      <c r="M97" s="4">
        <f t="shared" si="15"/>
        <v>23254.857608511666</v>
      </c>
      <c r="N97" s="4">
        <f t="shared" si="16"/>
        <v>22357.044807375118</v>
      </c>
      <c r="O97" s="4">
        <f t="shared" si="17"/>
        <v>897.81280113654793</v>
      </c>
    </row>
    <row r="98" spans="1:15" x14ac:dyDescent="0.25">
      <c r="A98" s="4">
        <f>'Data - SKU Detail'!A87</f>
        <v>2</v>
      </c>
      <c r="B98" s="4">
        <f>'Data - SKU Detail'!B87</f>
        <v>36</v>
      </c>
      <c r="C98" s="4">
        <f>'Data - SKU Detail'!C87</f>
        <v>78.569999999999993</v>
      </c>
      <c r="D98" s="4">
        <f>'Data - SKU Detail'!F87</f>
        <v>40170</v>
      </c>
      <c r="E98" s="4">
        <f t="shared" si="9"/>
        <v>15.713999999999999</v>
      </c>
      <c r="F98" s="4">
        <f t="shared" si="10"/>
        <v>1958.1825269125484</v>
      </c>
      <c r="G98" s="4">
        <f>'Data - SKU Detail'!G87</f>
        <v>19.3642382223067</v>
      </c>
      <c r="H98" s="4">
        <f>'Data - SKU Detail'!H87</f>
        <v>12.2771803524377</v>
      </c>
      <c r="I98" s="4">
        <f t="shared" si="11"/>
        <v>84.270717878650743</v>
      </c>
      <c r="J98" s="4">
        <f t="shared" si="12"/>
        <v>53.428737549498464</v>
      </c>
      <c r="K98" s="4">
        <f t="shared" si="13"/>
        <v>1063.3619813349248</v>
      </c>
      <c r="L98" s="4">
        <f t="shared" si="14"/>
        <v>1032.5200010057727</v>
      </c>
      <c r="M98" s="4">
        <f t="shared" si="15"/>
        <v>16709.670174697007</v>
      </c>
      <c r="N98" s="4">
        <f t="shared" si="16"/>
        <v>16225.01929580471</v>
      </c>
      <c r="O98" s="4">
        <f t="shared" si="17"/>
        <v>484.65087889229653</v>
      </c>
    </row>
    <row r="99" spans="1:15" x14ac:dyDescent="0.25">
      <c r="A99" s="4">
        <f>'Data - SKU Detail'!A88</f>
        <v>2</v>
      </c>
      <c r="B99" s="4">
        <f>'Data - SKU Detail'!B88</f>
        <v>37</v>
      </c>
      <c r="C99" s="4">
        <f>'Data - SKU Detail'!C88</f>
        <v>1169.73</v>
      </c>
      <c r="D99" s="4">
        <f>'Data - SKU Detail'!F88</f>
        <v>15276</v>
      </c>
      <c r="E99" s="4">
        <f t="shared" si="9"/>
        <v>233.94600000000003</v>
      </c>
      <c r="F99" s="4">
        <f t="shared" si="10"/>
        <v>312.96274502287827</v>
      </c>
      <c r="G99" s="4">
        <f>'Data - SKU Detail'!G88</f>
        <v>9.7614340565279001</v>
      </c>
      <c r="H99" s="4">
        <f>'Data - SKU Detail'!H88</f>
        <v>6.8401378096438297</v>
      </c>
      <c r="I99" s="4">
        <f t="shared" si="11"/>
        <v>42.480527559360198</v>
      </c>
      <c r="J99" s="4">
        <f t="shared" si="12"/>
        <v>29.767415427867149</v>
      </c>
      <c r="K99" s="4">
        <f t="shared" si="13"/>
        <v>198.96190007079935</v>
      </c>
      <c r="L99" s="4">
        <f t="shared" si="14"/>
        <v>186.24878793930628</v>
      </c>
      <c r="M99" s="4">
        <f t="shared" si="15"/>
        <v>46546.340673963226</v>
      </c>
      <c r="N99" s="4">
        <f t="shared" si="16"/>
        <v>43572.158943248949</v>
      </c>
      <c r="O99" s="4">
        <f t="shared" si="17"/>
        <v>2974.1817307142774</v>
      </c>
    </row>
    <row r="100" spans="1:15" x14ac:dyDescent="0.25">
      <c r="A100" s="4">
        <f>'Data - SKU Detail'!A89</f>
        <v>2</v>
      </c>
      <c r="B100" s="4">
        <f>'Data - SKU Detail'!B89</f>
        <v>38</v>
      </c>
      <c r="C100" s="4">
        <f>'Data - SKU Detail'!C89</f>
        <v>66.37</v>
      </c>
      <c r="D100" s="4">
        <f>'Data - SKU Detail'!F89</f>
        <v>41800</v>
      </c>
      <c r="E100" s="4">
        <f t="shared" si="9"/>
        <v>13.274000000000001</v>
      </c>
      <c r="F100" s="4">
        <f t="shared" si="10"/>
        <v>2173.3659752784656</v>
      </c>
      <c r="G100" s="4">
        <f>'Data - SKU Detail'!G89</f>
        <v>17.786169516985801</v>
      </c>
      <c r="H100" s="4">
        <f>'Data - SKU Detail'!H89</f>
        <v>11.452812908868101</v>
      </c>
      <c r="I100" s="4">
        <f t="shared" si="11"/>
        <v>77.403162277830234</v>
      </c>
      <c r="J100" s="4">
        <f t="shared" si="12"/>
        <v>49.841194602140384</v>
      </c>
      <c r="K100" s="4">
        <f t="shared" si="13"/>
        <v>1164.086149917063</v>
      </c>
      <c r="L100" s="4">
        <f t="shared" si="14"/>
        <v>1136.5241822413732</v>
      </c>
      <c r="M100" s="4">
        <f t="shared" si="15"/>
        <v>15452.079553999096</v>
      </c>
      <c r="N100" s="4">
        <f t="shared" si="16"/>
        <v>15086.221995071988</v>
      </c>
      <c r="O100" s="4">
        <f t="shared" si="17"/>
        <v>365.85755892710768</v>
      </c>
    </row>
    <row r="101" spans="1:15" x14ac:dyDescent="0.25">
      <c r="A101" s="4">
        <f>'Data - SKU Detail'!A90</f>
        <v>2</v>
      </c>
      <c r="B101" s="4">
        <f>'Data - SKU Detail'!B90</f>
        <v>39</v>
      </c>
      <c r="C101" s="4">
        <f>'Data - SKU Detail'!C90</f>
        <v>503.01</v>
      </c>
      <c r="D101" s="4">
        <f>'Data - SKU Detail'!F90</f>
        <v>22697</v>
      </c>
      <c r="E101" s="4">
        <f t="shared" si="9"/>
        <v>100.602</v>
      </c>
      <c r="F101" s="4">
        <f t="shared" si="10"/>
        <v>581.73681789425336</v>
      </c>
      <c r="G101" s="4">
        <f>'Data - SKU Detail'!G90</f>
        <v>10.5704923333822</v>
      </c>
      <c r="H101" s="4">
        <f>'Data - SKU Detail'!H90</f>
        <v>7.0470080044076902</v>
      </c>
      <c r="I101" s="4">
        <f t="shared" si="11"/>
        <v>46.001446947639366</v>
      </c>
      <c r="J101" s="4">
        <f t="shared" si="12"/>
        <v>30.667688375365014</v>
      </c>
      <c r="K101" s="4">
        <f t="shared" si="13"/>
        <v>336.86985589476603</v>
      </c>
      <c r="L101" s="4">
        <f t="shared" si="14"/>
        <v>321.53609732249168</v>
      </c>
      <c r="M101" s="4">
        <f t="shared" si="15"/>
        <v>33889.78124272525</v>
      </c>
      <c r="N101" s="4">
        <f t="shared" si="16"/>
        <v>32347.174462837309</v>
      </c>
      <c r="O101" s="4">
        <f t="shared" si="17"/>
        <v>1542.6067798879412</v>
      </c>
    </row>
    <row r="102" spans="1:15" x14ac:dyDescent="0.25">
      <c r="A102" s="4">
        <f>'Data - SKU Detail'!A91</f>
        <v>2</v>
      </c>
      <c r="B102" s="4">
        <f>'Data - SKU Detail'!B91</f>
        <v>40</v>
      </c>
      <c r="C102" s="4">
        <f>'Data - SKU Detail'!C91</f>
        <v>1272.73</v>
      </c>
      <c r="D102" s="4">
        <f>'Data - SKU Detail'!F91</f>
        <v>15292</v>
      </c>
      <c r="E102" s="4">
        <f t="shared" si="9"/>
        <v>254.54600000000002</v>
      </c>
      <c r="F102" s="4">
        <f t="shared" si="10"/>
        <v>300.18890440600069</v>
      </c>
      <c r="G102" s="4">
        <f>'Data - SKU Detail'!G91</f>
        <v>10.662900349365</v>
      </c>
      <c r="H102" s="4">
        <f>'Data - SKU Detail'!H91</f>
        <v>7.1391225580295901</v>
      </c>
      <c r="I102" s="4">
        <f t="shared" si="11"/>
        <v>46.403594956521104</v>
      </c>
      <c r="J102" s="4">
        <f t="shared" si="12"/>
        <v>31.068559273134017</v>
      </c>
      <c r="K102" s="4">
        <f t="shared" si="13"/>
        <v>196.49804715952143</v>
      </c>
      <c r="L102" s="4">
        <f t="shared" si="14"/>
        <v>181.16301147613436</v>
      </c>
      <c r="M102" s="4">
        <f t="shared" si="15"/>
        <v>50017.791912267545</v>
      </c>
      <c r="N102" s="4">
        <f t="shared" si="16"/>
        <v>46114.319919204099</v>
      </c>
      <c r="O102" s="4">
        <f t="shared" si="17"/>
        <v>3903.4719930634456</v>
      </c>
    </row>
    <row r="103" spans="1:15" x14ac:dyDescent="0.25">
      <c r="A103" s="4">
        <f>'Data - SKU Detail'!A92</f>
        <v>2</v>
      </c>
      <c r="B103" s="4">
        <f>'Data - SKU Detail'!B92</f>
        <v>41</v>
      </c>
      <c r="C103" s="4">
        <f>'Data - SKU Detail'!C92</f>
        <v>2111.73</v>
      </c>
      <c r="D103" s="4">
        <f>'Data - SKU Detail'!F92</f>
        <v>11471</v>
      </c>
      <c r="E103" s="4">
        <f t="shared" si="9"/>
        <v>422.346</v>
      </c>
      <c r="F103" s="4">
        <f t="shared" si="10"/>
        <v>201.84224905462889</v>
      </c>
      <c r="G103" s="4">
        <f>'Data - SKU Detail'!G92</f>
        <v>8.9156475983221597</v>
      </c>
      <c r="H103" s="4">
        <f>'Data - SKU Detail'!H92</f>
        <v>5.5134444074850499</v>
      </c>
      <c r="I103" s="4">
        <f t="shared" si="11"/>
        <v>38.799771766811979</v>
      </c>
      <c r="J103" s="4">
        <f t="shared" si="12"/>
        <v>23.993813382628943</v>
      </c>
      <c r="K103" s="4">
        <f t="shared" si="13"/>
        <v>139.72089629412642</v>
      </c>
      <c r="L103" s="4">
        <f t="shared" si="14"/>
        <v>124.91493790994339</v>
      </c>
      <c r="M103" s="4">
        <f t="shared" si="15"/>
        <v>59010.561666239118</v>
      </c>
      <c r="N103" s="4">
        <f t="shared" si="16"/>
        <v>52757.324366512948</v>
      </c>
      <c r="O103" s="4">
        <f t="shared" si="17"/>
        <v>6253.23729972617</v>
      </c>
    </row>
    <row r="104" spans="1:15" x14ac:dyDescent="0.25">
      <c r="A104" s="4">
        <f>'Data - SKU Detail'!A93</f>
        <v>2</v>
      </c>
      <c r="B104" s="4">
        <f>'Data - SKU Detail'!B93</f>
        <v>42</v>
      </c>
      <c r="C104" s="4">
        <f>'Data - SKU Detail'!C93</f>
        <v>704.99</v>
      </c>
      <c r="D104" s="4">
        <f>'Data - SKU Detail'!F93</f>
        <v>19229</v>
      </c>
      <c r="E104" s="4">
        <f t="shared" si="9"/>
        <v>140.99800000000002</v>
      </c>
      <c r="F104" s="4">
        <f t="shared" si="10"/>
        <v>452.29053875025858</v>
      </c>
      <c r="G104" s="4">
        <f>'Data - SKU Detail'!G93</f>
        <v>10.676602788781301</v>
      </c>
      <c r="H104" s="4">
        <f>'Data - SKU Detail'!H93</f>
        <v>6.9208921734190501</v>
      </c>
      <c r="I104" s="4">
        <f t="shared" si="11"/>
        <v>46.463226241420827</v>
      </c>
      <c r="J104" s="4">
        <f t="shared" si="12"/>
        <v>30.118848214896815</v>
      </c>
      <c r="K104" s="4">
        <f t="shared" si="13"/>
        <v>272.6084956165501</v>
      </c>
      <c r="L104" s="4">
        <f t="shared" si="14"/>
        <v>256.2641175900261</v>
      </c>
      <c r="M104" s="4">
        <f t="shared" si="15"/>
        <v>38437.252664942338</v>
      </c>
      <c r="N104" s="4">
        <f t="shared" si="16"/>
        <v>36132.728051958504</v>
      </c>
      <c r="O104" s="4">
        <f t="shared" si="17"/>
        <v>2304.5246129838342</v>
      </c>
    </row>
    <row r="105" spans="1:15" x14ac:dyDescent="0.25">
      <c r="A105" s="4">
        <f>'Data - SKU Detail'!A94</f>
        <v>2</v>
      </c>
      <c r="B105" s="4">
        <f>'Data - SKU Detail'!B94</f>
        <v>43</v>
      </c>
      <c r="C105" s="4">
        <f>'Data - SKU Detail'!C94</f>
        <v>358.9</v>
      </c>
      <c r="D105" s="4">
        <f>'Data - SKU Detail'!F94</f>
        <v>26684</v>
      </c>
      <c r="E105" s="4">
        <f t="shared" si="9"/>
        <v>71.78</v>
      </c>
      <c r="F105" s="4">
        <f t="shared" si="10"/>
        <v>746.73991931933244</v>
      </c>
      <c r="G105" s="4">
        <f>'Data - SKU Detail'!G94</f>
        <v>13.228323144145101</v>
      </c>
      <c r="H105" s="4">
        <f>'Data - SKU Detail'!H94</f>
        <v>8.8331402281487392</v>
      </c>
      <c r="I105" s="4">
        <f t="shared" si="11"/>
        <v>57.567990792621323</v>
      </c>
      <c r="J105" s="4">
        <f t="shared" si="12"/>
        <v>38.44071011744721</v>
      </c>
      <c r="K105" s="4">
        <f t="shared" si="13"/>
        <v>430.93795045228757</v>
      </c>
      <c r="L105" s="4">
        <f t="shared" si="14"/>
        <v>411.81066977711345</v>
      </c>
      <c r="M105" s="4">
        <f t="shared" si="15"/>
        <v>30932.726083465201</v>
      </c>
      <c r="N105" s="4">
        <f t="shared" si="16"/>
        <v>29559.769876601204</v>
      </c>
      <c r="O105" s="4">
        <f t="shared" si="17"/>
        <v>1372.9562068639971</v>
      </c>
    </row>
    <row r="106" spans="1:15" x14ac:dyDescent="0.25">
      <c r="A106" s="4">
        <f>'Data - SKU Detail'!A95</f>
        <v>2</v>
      </c>
      <c r="B106" s="4">
        <f>'Data - SKU Detail'!B95</f>
        <v>44</v>
      </c>
      <c r="C106" s="4">
        <f>'Data - SKU Detail'!C95</f>
        <v>908.1</v>
      </c>
      <c r="D106" s="4">
        <f>'Data - SKU Detail'!F95</f>
        <v>15296</v>
      </c>
      <c r="E106" s="4">
        <f t="shared" si="9"/>
        <v>181.62</v>
      </c>
      <c r="F106" s="4">
        <f t="shared" si="10"/>
        <v>355.42889495975959</v>
      </c>
      <c r="G106" s="4">
        <f>'Data - SKU Detail'!G95</f>
        <v>9.0807480785730093</v>
      </c>
      <c r="H106" s="4">
        <f>'Data - SKU Detail'!H95</f>
        <v>6.6797027668781297</v>
      </c>
      <c r="I106" s="4">
        <f t="shared" si="11"/>
        <v>39.518268194769661</v>
      </c>
      <c r="J106" s="4">
        <f t="shared" si="12"/>
        <v>29.069222394320231</v>
      </c>
      <c r="K106" s="4">
        <f t="shared" si="13"/>
        <v>217.23271567464946</v>
      </c>
      <c r="L106" s="4">
        <f t="shared" si="14"/>
        <v>206.78366987420003</v>
      </c>
      <c r="M106" s="4">
        <f t="shared" si="15"/>
        <v>39453.805820829832</v>
      </c>
      <c r="N106" s="4">
        <f t="shared" si="16"/>
        <v>37556.050122552209</v>
      </c>
      <c r="O106" s="4">
        <f t="shared" si="17"/>
        <v>1897.7556982776223</v>
      </c>
    </row>
    <row r="107" spans="1:15" x14ac:dyDescent="0.25">
      <c r="A107" s="4">
        <f>'Data - SKU Detail'!A96</f>
        <v>2</v>
      </c>
      <c r="B107" s="4">
        <f>'Data - SKU Detail'!B96</f>
        <v>45</v>
      </c>
      <c r="C107" s="4">
        <f>'Data - SKU Detail'!C96</f>
        <v>61</v>
      </c>
      <c r="D107" s="4">
        <f>'Data - SKU Detail'!F96</f>
        <v>42316</v>
      </c>
      <c r="E107" s="4">
        <f t="shared" si="9"/>
        <v>12.200000000000001</v>
      </c>
      <c r="F107" s="4">
        <f t="shared" si="10"/>
        <v>2280.9618333601948</v>
      </c>
      <c r="G107" s="4">
        <f>'Data - SKU Detail'!G96</f>
        <v>18.145283516756901</v>
      </c>
      <c r="H107" s="4">
        <f>'Data - SKU Detail'!H96</f>
        <v>12.1367890469778</v>
      </c>
      <c r="I107" s="4">
        <f t="shared" si="11"/>
        <v>78.965981027194871</v>
      </c>
      <c r="J107" s="4">
        <f t="shared" si="12"/>
        <v>52.817772327980059</v>
      </c>
      <c r="K107" s="4">
        <f t="shared" si="13"/>
        <v>1219.4468977072922</v>
      </c>
      <c r="L107" s="4">
        <f t="shared" si="14"/>
        <v>1193.2986890080774</v>
      </c>
      <c r="M107" s="4">
        <f t="shared" si="15"/>
        <v>14877.252152028967</v>
      </c>
      <c r="N107" s="4">
        <f t="shared" si="16"/>
        <v>14558.244005898545</v>
      </c>
      <c r="O107" s="4">
        <f t="shared" si="17"/>
        <v>319.00814613042166</v>
      </c>
    </row>
    <row r="108" spans="1:15" x14ac:dyDescent="0.25">
      <c r="A108" s="4">
        <f>'Data - SKU Detail'!A97</f>
        <v>2</v>
      </c>
      <c r="B108" s="4">
        <f>'Data - SKU Detail'!B97</f>
        <v>46</v>
      </c>
      <c r="C108" s="4">
        <f>'Data - SKU Detail'!C97</f>
        <v>216.31</v>
      </c>
      <c r="D108" s="4">
        <f>'Data - SKU Detail'!F97</f>
        <v>30427</v>
      </c>
      <c r="E108" s="4">
        <f t="shared" si="9"/>
        <v>43.262</v>
      </c>
      <c r="F108" s="4">
        <f t="shared" si="10"/>
        <v>1027.1216896618282</v>
      </c>
      <c r="G108" s="4">
        <f>'Data - SKU Detail'!G97</f>
        <v>13.669932584185901</v>
      </c>
      <c r="H108" s="4">
        <f>'Data - SKU Detail'!H97</f>
        <v>8.6437382524369006</v>
      </c>
      <c r="I108" s="4">
        <f t="shared" si="11"/>
        <v>59.489819273917199</v>
      </c>
      <c r="J108" s="4">
        <f t="shared" si="12"/>
        <v>37.616456651979867</v>
      </c>
      <c r="K108" s="4">
        <f t="shared" si="13"/>
        <v>573.0506641048313</v>
      </c>
      <c r="L108" s="4">
        <f t="shared" si="14"/>
        <v>551.17730148289399</v>
      </c>
      <c r="M108" s="4">
        <f t="shared" si="15"/>
        <v>24791.317830503212</v>
      </c>
      <c r="N108" s="4">
        <f t="shared" si="16"/>
        <v>23845.032416752962</v>
      </c>
      <c r="O108" s="4">
        <f t="shared" si="17"/>
        <v>946.28541375025088</v>
      </c>
    </row>
    <row r="109" spans="1:15" x14ac:dyDescent="0.25">
      <c r="A109" s="4">
        <f>'Data - SKU Detail'!A98</f>
        <v>2</v>
      </c>
      <c r="B109" s="4">
        <f>'Data - SKU Detail'!B98</f>
        <v>47</v>
      </c>
      <c r="C109" s="4">
        <f>'Data - SKU Detail'!C98</f>
        <v>1940.83</v>
      </c>
      <c r="D109" s="4">
        <f>'Data - SKU Detail'!F98</f>
        <v>11496</v>
      </c>
      <c r="E109" s="4">
        <f t="shared" si="9"/>
        <v>388.166</v>
      </c>
      <c r="F109" s="4">
        <f t="shared" si="10"/>
        <v>210.77071119943386</v>
      </c>
      <c r="G109" s="4">
        <f>'Data - SKU Detail'!G98</f>
        <v>9.2824243501132706</v>
      </c>
      <c r="H109" s="4">
        <f>'Data - SKU Detail'!H98</f>
        <v>6.3309039161402803</v>
      </c>
      <c r="I109" s="4">
        <f t="shared" si="11"/>
        <v>40.395937844702473</v>
      </c>
      <c r="J109" s="4">
        <f t="shared" si="12"/>
        <v>27.551293870126237</v>
      </c>
      <c r="K109" s="4">
        <f t="shared" si="13"/>
        <v>145.78129344441942</v>
      </c>
      <c r="L109" s="4">
        <f t="shared" si="14"/>
        <v>132.93664946984316</v>
      </c>
      <c r="M109" s="4">
        <f t="shared" si="15"/>
        <v>56587.341551146506</v>
      </c>
      <c r="N109" s="4">
        <f t="shared" si="16"/>
        <v>51601.487478111143</v>
      </c>
      <c r="O109" s="4">
        <f t="shared" si="17"/>
        <v>4985.8540730353634</v>
      </c>
    </row>
    <row r="110" spans="1:15" x14ac:dyDescent="0.25">
      <c r="A110" s="4">
        <f>'Data - SKU Detail'!A99</f>
        <v>2</v>
      </c>
      <c r="B110" s="4">
        <f>'Data - SKU Detail'!B99</f>
        <v>48</v>
      </c>
      <c r="C110" s="4">
        <f>'Data - SKU Detail'!C99</f>
        <v>329.86</v>
      </c>
      <c r="D110" s="4">
        <f>'Data - SKU Detail'!F99</f>
        <v>26924</v>
      </c>
      <c r="E110" s="4">
        <f t="shared" si="9"/>
        <v>65.972000000000008</v>
      </c>
      <c r="F110" s="4">
        <f t="shared" si="10"/>
        <v>782.41216688160921</v>
      </c>
      <c r="G110" s="4">
        <f>'Data - SKU Detail'!G99</f>
        <v>11.800474331895099</v>
      </c>
      <c r="H110" s="4">
        <f>'Data - SKU Detail'!H99</f>
        <v>8.0788394863301196</v>
      </c>
      <c r="I110" s="4">
        <f t="shared" si="11"/>
        <v>51.354173184662102</v>
      </c>
      <c r="J110" s="4">
        <f t="shared" si="12"/>
        <v>35.158088602482088</v>
      </c>
      <c r="K110" s="4">
        <f t="shared" si="13"/>
        <v>442.56025662546671</v>
      </c>
      <c r="L110" s="4">
        <f t="shared" si="14"/>
        <v>426.36417204328671</v>
      </c>
      <c r="M110" s="4">
        <f t="shared" si="15"/>
        <v>29196.585250095293</v>
      </c>
      <c r="N110" s="4">
        <f t="shared" si="16"/>
        <v>28128.097158039716</v>
      </c>
      <c r="O110" s="4">
        <f t="shared" si="17"/>
        <v>1068.488092055577</v>
      </c>
    </row>
    <row r="111" spans="1:15" x14ac:dyDescent="0.25">
      <c r="A111" s="4">
        <f>'Data - SKU Detail'!A100</f>
        <v>2</v>
      </c>
      <c r="B111" s="4">
        <f>'Data - SKU Detail'!B100</f>
        <v>49</v>
      </c>
      <c r="C111" s="4">
        <f>'Data - SKU Detail'!C100</f>
        <v>988.06</v>
      </c>
      <c r="D111" s="4">
        <f>'Data - SKU Detail'!F100</f>
        <v>15216</v>
      </c>
      <c r="E111" s="4">
        <f t="shared" si="9"/>
        <v>197.61199999999999</v>
      </c>
      <c r="F111" s="4">
        <f t="shared" si="10"/>
        <v>339.85152458332988</v>
      </c>
      <c r="G111" s="4">
        <f>'Data - SKU Detail'!G100</f>
        <v>8.9429897915545595</v>
      </c>
      <c r="H111" s="4">
        <f>'Data - SKU Detail'!H100</f>
        <v>6.13473433348884</v>
      </c>
      <c r="I111" s="4">
        <f t="shared" si="11"/>
        <v>38.918761536800282</v>
      </c>
      <c r="J111" s="4">
        <f t="shared" si="12"/>
        <v>26.697588634412455</v>
      </c>
      <c r="K111" s="4">
        <f t="shared" si="13"/>
        <v>208.84452382846521</v>
      </c>
      <c r="L111" s="4">
        <f t="shared" si="14"/>
        <v>196.62335092607739</v>
      </c>
      <c r="M111" s="4">
        <f t="shared" si="15"/>
        <v>41270.184042790665</v>
      </c>
      <c r="N111" s="4">
        <f t="shared" si="16"/>
        <v>38855.133623204005</v>
      </c>
      <c r="O111" s="4">
        <f t="shared" si="17"/>
        <v>2415.0504195866597</v>
      </c>
    </row>
    <row r="112" spans="1:15" x14ac:dyDescent="0.25">
      <c r="A112" s="4">
        <f>'Data - SKU Detail'!A101</f>
        <v>2</v>
      </c>
      <c r="B112" s="4">
        <f>'Data - SKU Detail'!B101</f>
        <v>50</v>
      </c>
      <c r="C112" s="4">
        <f>'Data - SKU Detail'!C101</f>
        <v>154.34</v>
      </c>
      <c r="D112" s="4">
        <f>'Data - SKU Detail'!F101</f>
        <v>34390</v>
      </c>
      <c r="E112" s="4">
        <f t="shared" si="9"/>
        <v>30.868000000000002</v>
      </c>
      <c r="F112" s="4">
        <f t="shared" si="10"/>
        <v>1292.728940865906</v>
      </c>
      <c r="G112" s="4">
        <f>'Data - SKU Detail'!G101</f>
        <v>16.439885279346999</v>
      </c>
      <c r="H112" s="4">
        <f>'Data - SKU Detail'!H101</f>
        <v>9.5712908537911208</v>
      </c>
      <c r="I112" s="4">
        <f t="shared" si="11"/>
        <v>71.544303392080622</v>
      </c>
      <c r="J112" s="4">
        <f t="shared" si="12"/>
        <v>41.653048367541757</v>
      </c>
      <c r="K112" s="4">
        <f t="shared" si="13"/>
        <v>717.90877382503368</v>
      </c>
      <c r="L112" s="4">
        <f t="shared" si="14"/>
        <v>688.01751880049471</v>
      </c>
      <c r="M112" s="4">
        <f t="shared" si="15"/>
        <v>22160.408030431143</v>
      </c>
      <c r="N112" s="4">
        <f t="shared" si="16"/>
        <v>21237.724770333672</v>
      </c>
      <c r="O112" s="4">
        <f t="shared" si="17"/>
        <v>922.68326009747034</v>
      </c>
    </row>
    <row r="113" spans="1:15" x14ac:dyDescent="0.25">
      <c r="A113" s="4">
        <f>'Data - SKU Detail'!A102</f>
        <v>3</v>
      </c>
      <c r="B113" s="4">
        <f>'Data - SKU Detail'!B102</f>
        <v>1</v>
      </c>
      <c r="C113" s="4">
        <f>'Data - SKU Detail'!C102</f>
        <v>2297.6799999999998</v>
      </c>
      <c r="D113" s="4">
        <f>'Data - SKU Detail'!F102</f>
        <v>10287</v>
      </c>
      <c r="E113" s="4">
        <f t="shared" si="9"/>
        <v>459.536</v>
      </c>
      <c r="F113" s="4">
        <f t="shared" si="10"/>
        <v>183.24419674147282</v>
      </c>
      <c r="G113" s="4">
        <f>'Data - SKU Detail'!G102</f>
        <v>6.4096499155674502</v>
      </c>
      <c r="H113" s="4">
        <f>'Data - SKU Detail'!H102</f>
        <v>4.9322038044747298</v>
      </c>
      <c r="I113" s="4">
        <f t="shared" si="11"/>
        <v>27.89398650929007</v>
      </c>
      <c r="J113" s="4">
        <f t="shared" si="12"/>
        <v>21.464327723881205</v>
      </c>
      <c r="K113" s="4">
        <f t="shared" si="13"/>
        <v>119.51608488002648</v>
      </c>
      <c r="L113" s="4">
        <f t="shared" si="14"/>
        <v>113.08642609461762</v>
      </c>
      <c r="M113" s="4">
        <f t="shared" si="15"/>
        <v>54921.943581427848</v>
      </c>
      <c r="N113" s="4">
        <f t="shared" si="16"/>
        <v>51967.283901816205</v>
      </c>
      <c r="O113" s="4">
        <f t="shared" si="17"/>
        <v>2954.6596796116428</v>
      </c>
    </row>
    <row r="114" spans="1:15" x14ac:dyDescent="0.25">
      <c r="A114" s="4">
        <f>'Data - SKU Detail'!A103</f>
        <v>3</v>
      </c>
      <c r="B114" s="4">
        <f>'Data - SKU Detail'!B103</f>
        <v>2</v>
      </c>
      <c r="C114" s="4">
        <f>'Data - SKU Detail'!C103</f>
        <v>235.35</v>
      </c>
      <c r="D114" s="4">
        <f>'Data - SKU Detail'!F103</f>
        <v>27112</v>
      </c>
      <c r="E114" s="4">
        <f t="shared" si="9"/>
        <v>47.07</v>
      </c>
      <c r="F114" s="4">
        <f t="shared" si="10"/>
        <v>929.5105176499751</v>
      </c>
      <c r="G114" s="4">
        <f>'Data - SKU Detail'!G103</f>
        <v>12.6476374441733</v>
      </c>
      <c r="H114" s="4">
        <f>'Data - SKU Detail'!H103</f>
        <v>7.6779847455959898</v>
      </c>
      <c r="I114" s="4">
        <f t="shared" si="11"/>
        <v>55.040920001779682</v>
      </c>
      <c r="J114" s="4">
        <f t="shared" si="12"/>
        <v>33.413619422805695</v>
      </c>
      <c r="K114" s="4">
        <f t="shared" si="13"/>
        <v>519.79617882676723</v>
      </c>
      <c r="L114" s="4">
        <f t="shared" si="14"/>
        <v>498.16887824779326</v>
      </c>
      <c r="M114" s="4">
        <f t="shared" si="15"/>
        <v>24466.806137375934</v>
      </c>
      <c r="N114" s="4">
        <f t="shared" si="16"/>
        <v>23448.809099123628</v>
      </c>
      <c r="O114" s="4">
        <f t="shared" si="17"/>
        <v>1017.9970382523061</v>
      </c>
    </row>
    <row r="115" spans="1:15" x14ac:dyDescent="0.25">
      <c r="A115" s="4">
        <f>'Data - SKU Detail'!A104</f>
        <v>3</v>
      </c>
      <c r="B115" s="4">
        <f>'Data - SKU Detail'!B104</f>
        <v>3</v>
      </c>
      <c r="C115" s="4">
        <f>'Data - SKU Detail'!C104</f>
        <v>767.06</v>
      </c>
      <c r="D115" s="4">
        <f>'Data - SKU Detail'!F104</f>
        <v>17066</v>
      </c>
      <c r="E115" s="4">
        <f t="shared" si="9"/>
        <v>153.41200000000001</v>
      </c>
      <c r="F115" s="4">
        <f t="shared" si="10"/>
        <v>408.49038092993482</v>
      </c>
      <c r="G115" s="4">
        <f>'Data - SKU Detail'!G104</f>
        <v>11.4567832929198</v>
      </c>
      <c r="H115" s="4">
        <f>'Data - SKU Detail'!H104</f>
        <v>8.1873134688726896</v>
      </c>
      <c r="I115" s="4">
        <f t="shared" si="11"/>
        <v>49.858473211835708</v>
      </c>
      <c r="J115" s="4">
        <f t="shared" si="12"/>
        <v>35.630153667736678</v>
      </c>
      <c r="K115" s="4">
        <f t="shared" si="13"/>
        <v>254.10366367680311</v>
      </c>
      <c r="L115" s="4">
        <f t="shared" si="14"/>
        <v>239.87534413270407</v>
      </c>
      <c r="M115" s="4">
        <f t="shared" si="15"/>
        <v>38982.551251985722</v>
      </c>
      <c r="N115" s="4">
        <f t="shared" si="16"/>
        <v>36799.756294086401</v>
      </c>
      <c r="O115" s="4">
        <f t="shared" si="17"/>
        <v>2182.7949578993212</v>
      </c>
    </row>
    <row r="116" spans="1:15" x14ac:dyDescent="0.25">
      <c r="A116" s="4">
        <f>'Data - SKU Detail'!A105</f>
        <v>3</v>
      </c>
      <c r="B116" s="4">
        <f>'Data - SKU Detail'!B105</f>
        <v>4</v>
      </c>
      <c r="C116" s="4">
        <f>'Data - SKU Detail'!C105</f>
        <v>1783.76</v>
      </c>
      <c r="D116" s="4">
        <f>'Data - SKU Detail'!F105</f>
        <v>10272</v>
      </c>
      <c r="E116" s="4">
        <f t="shared" si="9"/>
        <v>356.75200000000001</v>
      </c>
      <c r="F116" s="4">
        <f t="shared" si="10"/>
        <v>207.82123753676987</v>
      </c>
      <c r="G116" s="4">
        <f>'Data - SKU Detail'!G105</f>
        <v>8.1003250039497203</v>
      </c>
      <c r="H116" s="4">
        <f>'Data - SKU Detail'!H105</f>
        <v>5.5841638120128101</v>
      </c>
      <c r="I116" s="4">
        <f t="shared" si="11"/>
        <v>35.251590860252932</v>
      </c>
      <c r="J116" s="4">
        <f t="shared" si="12"/>
        <v>24.301575295030943</v>
      </c>
      <c r="K116" s="4">
        <f t="shared" si="13"/>
        <v>139.16220962863787</v>
      </c>
      <c r="L116" s="4">
        <f t="shared" si="14"/>
        <v>128.21219406341589</v>
      </c>
      <c r="M116" s="4">
        <f t="shared" si="15"/>
        <v>49646.396609435818</v>
      </c>
      <c r="N116" s="4">
        <f t="shared" si="16"/>
        <v>45739.956656511749</v>
      </c>
      <c r="O116" s="4">
        <f t="shared" si="17"/>
        <v>3906.4399529240691</v>
      </c>
    </row>
    <row r="117" spans="1:15" x14ac:dyDescent="0.25">
      <c r="A117" s="4">
        <f>'Data - SKU Detail'!A106</f>
        <v>3</v>
      </c>
      <c r="B117" s="4">
        <f>'Data - SKU Detail'!B106</f>
        <v>5</v>
      </c>
      <c r="C117" s="4">
        <f>'Data - SKU Detail'!C106</f>
        <v>2500</v>
      </c>
      <c r="D117" s="4">
        <f>'Data - SKU Detail'!F106</f>
        <v>8525</v>
      </c>
      <c r="E117" s="4">
        <f t="shared" si="9"/>
        <v>500</v>
      </c>
      <c r="F117" s="4">
        <f t="shared" si="10"/>
        <v>159.92185591719476</v>
      </c>
      <c r="G117" s="4">
        <f>'Data - SKU Detail'!G106</f>
        <v>5.9492598920587199</v>
      </c>
      <c r="H117" s="4">
        <f>'Data - SKU Detail'!H106</f>
        <v>4.4318762437736501</v>
      </c>
      <c r="I117" s="4">
        <f t="shared" si="11"/>
        <v>25.890427301855986</v>
      </c>
      <c r="J117" s="4">
        <f t="shared" si="12"/>
        <v>19.286965401092569</v>
      </c>
      <c r="K117" s="4">
        <f t="shared" si="13"/>
        <v>105.85135526045337</v>
      </c>
      <c r="L117" s="4">
        <f t="shared" si="14"/>
        <v>99.247893359689954</v>
      </c>
      <c r="M117" s="4">
        <f t="shared" si="15"/>
        <v>52925.677630226688</v>
      </c>
      <c r="N117" s="4">
        <f t="shared" si="16"/>
        <v>49623.946679844979</v>
      </c>
      <c r="O117" s="4">
        <f t="shared" si="17"/>
        <v>3301.7309503817087</v>
      </c>
    </row>
    <row r="118" spans="1:15" x14ac:dyDescent="0.25">
      <c r="A118" s="4">
        <f>'Data - SKU Detail'!A107</f>
        <v>3</v>
      </c>
      <c r="B118" s="4">
        <f>'Data - SKU Detail'!B107</f>
        <v>6</v>
      </c>
      <c r="C118" s="4">
        <f>'Data - SKU Detail'!C107</f>
        <v>278.63</v>
      </c>
      <c r="D118" s="4">
        <f>'Data - SKU Detail'!F107</f>
        <v>27110</v>
      </c>
      <c r="E118" s="4">
        <f t="shared" si="9"/>
        <v>55.725999999999999</v>
      </c>
      <c r="F118" s="4">
        <f t="shared" si="10"/>
        <v>854.24304780622174</v>
      </c>
      <c r="G118" s="4">
        <f>'Data - SKU Detail'!G107</f>
        <v>12.8346275224763</v>
      </c>
      <c r="H118" s="4">
        <f>'Data - SKU Detail'!H107</f>
        <v>7.6082060357451198</v>
      </c>
      <c r="I118" s="4">
        <f t="shared" si="11"/>
        <v>55.854677194491082</v>
      </c>
      <c r="J118" s="4">
        <f t="shared" si="12"/>
        <v>33.109951294771363</v>
      </c>
      <c r="K118" s="4">
        <f t="shared" si="13"/>
        <v>482.97620109760197</v>
      </c>
      <c r="L118" s="4">
        <f t="shared" si="14"/>
        <v>460.23147519788222</v>
      </c>
      <c r="M118" s="4">
        <f t="shared" si="15"/>
        <v>26914.331782364967</v>
      </c>
      <c r="N118" s="4">
        <f t="shared" si="16"/>
        <v>25646.859186877184</v>
      </c>
      <c r="O118" s="4">
        <f t="shared" si="17"/>
        <v>1267.4725954877831</v>
      </c>
    </row>
    <row r="119" spans="1:15" x14ac:dyDescent="0.25">
      <c r="A119" s="4">
        <f>'Data - SKU Detail'!A108</f>
        <v>3</v>
      </c>
      <c r="B119" s="4">
        <f>'Data - SKU Detail'!B108</f>
        <v>7</v>
      </c>
      <c r="C119" s="4">
        <f>'Data - SKU Detail'!C108</f>
        <v>256.08</v>
      </c>
      <c r="D119" s="4">
        <f>'Data - SKU Detail'!F108</f>
        <v>27205</v>
      </c>
      <c r="E119" s="4">
        <f t="shared" si="9"/>
        <v>51.216000000000001</v>
      </c>
      <c r="F119" s="4">
        <f t="shared" si="10"/>
        <v>892.62113630080853</v>
      </c>
      <c r="G119" s="4">
        <f>'Data - SKU Detail'!G108</f>
        <v>13.2346378054112</v>
      </c>
      <c r="H119" s="4">
        <f>'Data - SKU Detail'!H108</f>
        <v>8.0723306705713291</v>
      </c>
      <c r="I119" s="4">
        <f t="shared" si="11"/>
        <v>57.595471400530897</v>
      </c>
      <c r="J119" s="4">
        <f t="shared" si="12"/>
        <v>35.129763058753689</v>
      </c>
      <c r="K119" s="4">
        <f t="shared" si="13"/>
        <v>503.90603955093513</v>
      </c>
      <c r="L119" s="4">
        <f t="shared" si="14"/>
        <v>481.44033120915793</v>
      </c>
      <c r="M119" s="4">
        <f t="shared" si="15"/>
        <v>25808.051721640695</v>
      </c>
      <c r="N119" s="4">
        <f t="shared" si="16"/>
        <v>24657.448003208232</v>
      </c>
      <c r="O119" s="4">
        <f t="shared" si="17"/>
        <v>1150.6037184324632</v>
      </c>
    </row>
    <row r="120" spans="1:15" x14ac:dyDescent="0.25">
      <c r="A120" s="4">
        <f>'Data - SKU Detail'!A109</f>
        <v>3</v>
      </c>
      <c r="B120" s="4">
        <f>'Data - SKU Detail'!B109</f>
        <v>8</v>
      </c>
      <c r="C120" s="4">
        <f>'Data - SKU Detail'!C109</f>
        <v>85.49</v>
      </c>
      <c r="D120" s="4">
        <f>'Data - SKU Detail'!F109</f>
        <v>35599</v>
      </c>
      <c r="E120" s="4">
        <f t="shared" si="9"/>
        <v>17.097999999999999</v>
      </c>
      <c r="F120" s="4">
        <f t="shared" si="10"/>
        <v>1767.2251048734252</v>
      </c>
      <c r="G120" s="4">
        <f>'Data - SKU Detail'!G109</f>
        <v>16.943823880749701</v>
      </c>
      <c r="H120" s="4">
        <f>'Data - SKU Detail'!H109</f>
        <v>9.7365635431559401</v>
      </c>
      <c r="I120" s="4">
        <f t="shared" si="11"/>
        <v>73.737380507711663</v>
      </c>
      <c r="J120" s="4">
        <f t="shared" si="12"/>
        <v>42.372294227803096</v>
      </c>
      <c r="K120" s="4">
        <f t="shared" si="13"/>
        <v>957.34993294442427</v>
      </c>
      <c r="L120" s="4">
        <f t="shared" si="14"/>
        <v>925.98484666451566</v>
      </c>
      <c r="M120" s="4">
        <f t="shared" si="15"/>
        <v>16368.769153483765</v>
      </c>
      <c r="N120" s="4">
        <f t="shared" si="16"/>
        <v>15832.488908269888</v>
      </c>
      <c r="O120" s="4">
        <f t="shared" si="17"/>
        <v>536.2802452138767</v>
      </c>
    </row>
    <row r="121" spans="1:15" x14ac:dyDescent="0.25">
      <c r="A121" s="4">
        <f>'Data - SKU Detail'!A110</f>
        <v>3</v>
      </c>
      <c r="B121" s="4">
        <f>'Data - SKU Detail'!B110</f>
        <v>9</v>
      </c>
      <c r="C121" s="4">
        <f>'Data - SKU Detail'!C110</f>
        <v>303.16000000000003</v>
      </c>
      <c r="D121" s="4">
        <f>'Data - SKU Detail'!F110</f>
        <v>23742</v>
      </c>
      <c r="E121" s="4">
        <f t="shared" si="9"/>
        <v>60.632000000000005</v>
      </c>
      <c r="F121" s="4">
        <f t="shared" si="10"/>
        <v>766.39618252541129</v>
      </c>
      <c r="G121" s="4">
        <f>'Data - SKU Detail'!G110</f>
        <v>11.4997870729576</v>
      </c>
      <c r="H121" s="4">
        <f>'Data - SKU Detail'!H110</f>
        <v>7.6525161961621304</v>
      </c>
      <c r="I121" s="4">
        <f t="shared" si="11"/>
        <v>50.045620228603269</v>
      </c>
      <c r="J121" s="4">
        <f t="shared" si="12"/>
        <v>33.302783513875042</v>
      </c>
      <c r="K121" s="4">
        <f t="shared" si="13"/>
        <v>433.24371149130889</v>
      </c>
      <c r="L121" s="4">
        <f t="shared" si="14"/>
        <v>416.5008747765807</v>
      </c>
      <c r="M121" s="4">
        <f t="shared" si="15"/>
        <v>26268.432715141043</v>
      </c>
      <c r="N121" s="4">
        <f t="shared" si="16"/>
        <v>25253.281039453643</v>
      </c>
      <c r="O121" s="4">
        <f t="shared" si="17"/>
        <v>1015.1516756874007</v>
      </c>
    </row>
    <row r="122" spans="1:15" x14ac:dyDescent="0.25">
      <c r="A122" s="4">
        <f>'Data - SKU Detail'!A111</f>
        <v>3</v>
      </c>
      <c r="B122" s="4">
        <f>'Data - SKU Detail'!B111</f>
        <v>10</v>
      </c>
      <c r="C122" s="4">
        <f>'Data - SKU Detail'!C111</f>
        <v>93.02</v>
      </c>
      <c r="D122" s="4">
        <f>'Data - SKU Detail'!F111</f>
        <v>34140</v>
      </c>
      <c r="E122" s="4">
        <f t="shared" si="9"/>
        <v>18.603999999999999</v>
      </c>
      <c r="F122" s="4">
        <f t="shared" si="10"/>
        <v>1659.1063384197157</v>
      </c>
      <c r="G122" s="4">
        <f>'Data - SKU Detail'!G111</f>
        <v>17.782284086393201</v>
      </c>
      <c r="H122" s="4">
        <f>'Data - SKU Detail'!H111</f>
        <v>10.209877135446099</v>
      </c>
      <c r="I122" s="4">
        <f t="shared" si="11"/>
        <v>77.386253374854178</v>
      </c>
      <c r="J122" s="4">
        <f t="shared" si="12"/>
        <v>44.432095173552021</v>
      </c>
      <c r="K122" s="4">
        <f t="shared" si="13"/>
        <v>906.93942258471202</v>
      </c>
      <c r="L122" s="4">
        <f t="shared" si="14"/>
        <v>873.98526438340991</v>
      </c>
      <c r="M122" s="4">
        <f t="shared" si="15"/>
        <v>16872.701017765983</v>
      </c>
      <c r="N122" s="4">
        <f t="shared" si="16"/>
        <v>16259.621858588956</v>
      </c>
      <c r="O122" s="4">
        <f t="shared" si="17"/>
        <v>613.07915917702667</v>
      </c>
    </row>
    <row r="123" spans="1:15" x14ac:dyDescent="0.25">
      <c r="A123" s="4">
        <f>'Data - SKU Detail'!A112</f>
        <v>3</v>
      </c>
      <c r="B123" s="4">
        <f>'Data - SKU Detail'!B112</f>
        <v>11</v>
      </c>
      <c r="C123" s="4">
        <f>'Data - SKU Detail'!C112</f>
        <v>101.21</v>
      </c>
      <c r="D123" s="4">
        <f>'Data - SKU Detail'!F112</f>
        <v>32113</v>
      </c>
      <c r="E123" s="4">
        <f t="shared" si="9"/>
        <v>20.242000000000001</v>
      </c>
      <c r="F123" s="4">
        <f t="shared" si="10"/>
        <v>1542.621425228803</v>
      </c>
      <c r="G123" s="4">
        <f>'Data - SKU Detail'!G112</f>
        <v>15.8553053303608</v>
      </c>
      <c r="H123" s="4">
        <f>'Data - SKU Detail'!H112</f>
        <v>9.8211828907031293</v>
      </c>
      <c r="I123" s="4">
        <f t="shared" si="11"/>
        <v>69.00028532160556</v>
      </c>
      <c r="J123" s="4">
        <f t="shared" si="12"/>
        <v>42.74054693582908</v>
      </c>
      <c r="K123" s="4">
        <f t="shared" si="13"/>
        <v>840.31099793600708</v>
      </c>
      <c r="L123" s="4">
        <f t="shared" si="14"/>
        <v>814.05125955023061</v>
      </c>
      <c r="M123" s="4">
        <f t="shared" si="15"/>
        <v>17009.575220220657</v>
      </c>
      <c r="N123" s="4">
        <f t="shared" si="16"/>
        <v>16478.025595815769</v>
      </c>
      <c r="O123" s="4">
        <f t="shared" si="17"/>
        <v>531.54962440488816</v>
      </c>
    </row>
    <row r="124" spans="1:15" x14ac:dyDescent="0.25">
      <c r="A124" s="4">
        <f>'Data - SKU Detail'!A113</f>
        <v>3</v>
      </c>
      <c r="B124" s="4">
        <f>'Data - SKU Detail'!B113</f>
        <v>12</v>
      </c>
      <c r="C124" s="4">
        <f>'Data - SKU Detail'!C113</f>
        <v>110.12</v>
      </c>
      <c r="D124" s="4">
        <f>'Data - SKU Detail'!F113</f>
        <v>32136</v>
      </c>
      <c r="E124" s="4">
        <f t="shared" si="9"/>
        <v>22.024000000000001</v>
      </c>
      <c r="F124" s="4">
        <f t="shared" si="10"/>
        <v>1479.4266567954307</v>
      </c>
      <c r="G124" s="4">
        <f>'Data - SKU Detail'!G113</f>
        <v>15.5249094729206</v>
      </c>
      <c r="H124" s="4">
        <f>'Data - SKU Detail'!H113</f>
        <v>10.135244324773099</v>
      </c>
      <c r="I124" s="4">
        <f t="shared" si="11"/>
        <v>67.562444298841001</v>
      </c>
      <c r="J124" s="4">
        <f t="shared" si="12"/>
        <v>44.107302612103872</v>
      </c>
      <c r="K124" s="4">
        <f t="shared" si="13"/>
        <v>807.27577269655637</v>
      </c>
      <c r="L124" s="4">
        <f t="shared" si="14"/>
        <v>783.82063100981929</v>
      </c>
      <c r="M124" s="4">
        <f t="shared" si="15"/>
        <v>17779.441617868957</v>
      </c>
      <c r="N124" s="4">
        <f t="shared" si="16"/>
        <v>17262.865577360262</v>
      </c>
      <c r="O124" s="4">
        <f t="shared" si="17"/>
        <v>516.57604050869486</v>
      </c>
    </row>
    <row r="125" spans="1:15" x14ac:dyDescent="0.25">
      <c r="A125" s="4">
        <f>'Data - SKU Detail'!A114</f>
        <v>3</v>
      </c>
      <c r="B125" s="4">
        <f>'Data - SKU Detail'!B114</f>
        <v>13</v>
      </c>
      <c r="C125" s="4">
        <f>'Data - SKU Detail'!C114</f>
        <v>47.35</v>
      </c>
      <c r="D125" s="4">
        <f>'Data - SKU Detail'!F114</f>
        <v>39203</v>
      </c>
      <c r="E125" s="4">
        <f t="shared" si="9"/>
        <v>9.4700000000000006</v>
      </c>
      <c r="F125" s="4">
        <f t="shared" si="10"/>
        <v>2491.8981709115214</v>
      </c>
      <c r="G125" s="4">
        <f>'Data - SKU Detail'!G114</f>
        <v>16.646442180450499</v>
      </c>
      <c r="H125" s="4">
        <f>'Data - SKU Detail'!H114</f>
        <v>11.3250007548783</v>
      </c>
      <c r="I125" s="4">
        <f t="shared" si="11"/>
        <v>72.443212925156374</v>
      </c>
      <c r="J125" s="4">
        <f t="shared" si="12"/>
        <v>49.284972258318469</v>
      </c>
      <c r="K125" s="4">
        <f t="shared" si="13"/>
        <v>1318.3922983809171</v>
      </c>
      <c r="L125" s="4">
        <f t="shared" si="14"/>
        <v>1295.2340577140792</v>
      </c>
      <c r="M125" s="4">
        <f t="shared" si="15"/>
        <v>12485.175065667285</v>
      </c>
      <c r="N125" s="4">
        <f t="shared" si="16"/>
        <v>12265.86652655233</v>
      </c>
      <c r="O125" s="4">
        <f t="shared" si="17"/>
        <v>219.30853911495433</v>
      </c>
    </row>
    <row r="126" spans="1:15" x14ac:dyDescent="0.25">
      <c r="A126" s="4">
        <f>'Data - SKU Detail'!A115</f>
        <v>3</v>
      </c>
      <c r="B126" s="4">
        <f>'Data - SKU Detail'!B115</f>
        <v>14</v>
      </c>
      <c r="C126" s="4">
        <f>'Data - SKU Detail'!C115</f>
        <v>182.71</v>
      </c>
      <c r="D126" s="4">
        <f>'Data - SKU Detail'!F115</f>
        <v>27222</v>
      </c>
      <c r="E126" s="4">
        <f t="shared" si="9"/>
        <v>36.542000000000002</v>
      </c>
      <c r="F126" s="4">
        <f t="shared" si="10"/>
        <v>1057.0839715486893</v>
      </c>
      <c r="G126" s="4">
        <f>'Data - SKU Detail'!G115</f>
        <v>14.1197991875589</v>
      </c>
      <c r="H126" s="4">
        <f>'Data - SKU Detail'!H115</f>
        <v>8.8719212616961105</v>
      </c>
      <c r="I126" s="4">
        <f t="shared" si="11"/>
        <v>61.447581886659776</v>
      </c>
      <c r="J126" s="4">
        <f t="shared" si="12"/>
        <v>38.609480275074596</v>
      </c>
      <c r="K126" s="4">
        <f t="shared" si="13"/>
        <v>589.98956766100446</v>
      </c>
      <c r="L126" s="4">
        <f t="shared" si="14"/>
        <v>567.15146604941924</v>
      </c>
      <c r="M126" s="4">
        <f t="shared" si="15"/>
        <v>21559.398781468426</v>
      </c>
      <c r="N126" s="4">
        <f t="shared" si="16"/>
        <v>20724.848872377879</v>
      </c>
      <c r="O126" s="4">
        <f t="shared" si="17"/>
        <v>834.54990909054686</v>
      </c>
    </row>
    <row r="127" spans="1:15" x14ac:dyDescent="0.25">
      <c r="A127" s="4">
        <f>'Data - SKU Detail'!A116</f>
        <v>3</v>
      </c>
      <c r="B127" s="4">
        <f>'Data - SKU Detail'!B116</f>
        <v>15</v>
      </c>
      <c r="C127" s="4">
        <f>'Data - SKU Detail'!C116</f>
        <v>40</v>
      </c>
      <c r="D127" s="4">
        <f>'Data - SKU Detail'!F116</f>
        <v>40916</v>
      </c>
      <c r="E127" s="4">
        <f t="shared" si="9"/>
        <v>8</v>
      </c>
      <c r="F127" s="4">
        <f t="shared" si="10"/>
        <v>2769.7924109940082</v>
      </c>
      <c r="G127" s="4">
        <f>'Data - SKU Detail'!G116</f>
        <v>16.546489401518802</v>
      </c>
      <c r="H127" s="4">
        <f>'Data - SKU Detail'!H116</f>
        <v>11.417171473985301</v>
      </c>
      <c r="I127" s="4">
        <f t="shared" si="11"/>
        <v>72.008231061277144</v>
      </c>
      <c r="J127" s="4">
        <f t="shared" si="12"/>
        <v>49.686087581181567</v>
      </c>
      <c r="K127" s="4">
        <f t="shared" si="13"/>
        <v>1456.9044365582813</v>
      </c>
      <c r="L127" s="4">
        <f t="shared" si="14"/>
        <v>1434.5822930781856</v>
      </c>
      <c r="M127" s="4">
        <f t="shared" si="15"/>
        <v>11655.23549246625</v>
      </c>
      <c r="N127" s="4">
        <f t="shared" si="16"/>
        <v>11476.658344625484</v>
      </c>
      <c r="O127" s="4">
        <f t="shared" si="17"/>
        <v>178.57714784076597</v>
      </c>
    </row>
    <row r="128" spans="1:15" x14ac:dyDescent="0.25">
      <c r="A128" s="4">
        <f>'Data - SKU Detail'!A117</f>
        <v>3</v>
      </c>
      <c r="B128" s="4">
        <f>'Data - SKU Detail'!B117</f>
        <v>16</v>
      </c>
      <c r="C128" s="4">
        <f>'Data - SKU Detail'!C117</f>
        <v>1506.73</v>
      </c>
      <c r="D128" s="4">
        <f>'Data - SKU Detail'!F117</f>
        <v>11920</v>
      </c>
      <c r="E128" s="4">
        <f t="shared" si="9"/>
        <v>301.346</v>
      </c>
      <c r="F128" s="4">
        <f t="shared" si="10"/>
        <v>243.58528089026399</v>
      </c>
      <c r="G128" s="4">
        <f>'Data - SKU Detail'!G117</f>
        <v>7.9463907915806598</v>
      </c>
      <c r="H128" s="4">
        <f>'Data - SKU Detail'!H117</f>
        <v>5.4516362595568797</v>
      </c>
      <c r="I128" s="4">
        <f t="shared" si="11"/>
        <v>34.581688619147364</v>
      </c>
      <c r="J128" s="4">
        <f t="shared" si="12"/>
        <v>23.724832132922117</v>
      </c>
      <c r="K128" s="4">
        <f t="shared" si="13"/>
        <v>156.37432906427935</v>
      </c>
      <c r="L128" s="4">
        <f t="shared" si="14"/>
        <v>145.51747257805411</v>
      </c>
      <c r="M128" s="4">
        <f t="shared" si="15"/>
        <v>47122.778566204324</v>
      </c>
      <c r="N128" s="4">
        <f t="shared" si="16"/>
        <v>43851.108291506294</v>
      </c>
      <c r="O128" s="4">
        <f t="shared" si="17"/>
        <v>3271.67027469803</v>
      </c>
    </row>
    <row r="129" spans="1:15" x14ac:dyDescent="0.25">
      <c r="A129" s="4">
        <f>'Data - SKU Detail'!A118</f>
        <v>3</v>
      </c>
      <c r="B129" s="4">
        <f>'Data - SKU Detail'!B118</f>
        <v>17</v>
      </c>
      <c r="C129" s="4">
        <f>'Data - SKU Detail'!C118</f>
        <v>834.61</v>
      </c>
      <c r="D129" s="4">
        <f>'Data - SKU Detail'!F118</f>
        <v>15302</v>
      </c>
      <c r="E129" s="4">
        <f t="shared" si="9"/>
        <v>166.92200000000003</v>
      </c>
      <c r="F129" s="4">
        <f t="shared" si="10"/>
        <v>370.81981980070077</v>
      </c>
      <c r="G129" s="4">
        <f>'Data - SKU Detail'!G118</f>
        <v>9.2389575881080397</v>
      </c>
      <c r="H129" s="4">
        <f>'Data - SKU Detail'!H118</f>
        <v>6.7500479581794304</v>
      </c>
      <c r="I129" s="4">
        <f t="shared" si="11"/>
        <v>40.206775988915055</v>
      </c>
      <c r="J129" s="4">
        <f t="shared" si="12"/>
        <v>29.375355778046256</v>
      </c>
      <c r="K129" s="4">
        <f t="shared" si="13"/>
        <v>225.61668588926545</v>
      </c>
      <c r="L129" s="4">
        <f t="shared" si="14"/>
        <v>214.78526567839663</v>
      </c>
      <c r="M129" s="4">
        <f t="shared" si="15"/>
        <v>37660.388442007978</v>
      </c>
      <c r="N129" s="4">
        <f t="shared" si="16"/>
        <v>35852.386117569324</v>
      </c>
      <c r="O129" s="4">
        <f t="shared" si="17"/>
        <v>1808.0023244386539</v>
      </c>
    </row>
    <row r="130" spans="1:15" x14ac:dyDescent="0.25">
      <c r="A130" s="4">
        <f>'Data - SKU Detail'!A119</f>
        <v>3</v>
      </c>
      <c r="B130" s="4">
        <f>'Data - SKU Detail'!B119</f>
        <v>18</v>
      </c>
      <c r="C130" s="4">
        <f>'Data - SKU Detail'!C119</f>
        <v>51.52</v>
      </c>
      <c r="D130" s="4">
        <f>'Data - SKU Detail'!F119</f>
        <v>38854</v>
      </c>
      <c r="E130" s="4">
        <f t="shared" si="9"/>
        <v>10.304000000000002</v>
      </c>
      <c r="F130" s="4">
        <f t="shared" si="10"/>
        <v>2378.2667954438075</v>
      </c>
      <c r="G130" s="4">
        <f>'Data - SKU Detail'!G119</f>
        <v>17.5091812650229</v>
      </c>
      <c r="H130" s="4">
        <f>'Data - SKU Detail'!H119</f>
        <v>11.2017581647335</v>
      </c>
      <c r="I130" s="4">
        <f t="shared" si="11"/>
        <v>76.197744405518705</v>
      </c>
      <c r="J130" s="4">
        <f t="shared" si="12"/>
        <v>48.748636078939995</v>
      </c>
      <c r="K130" s="4">
        <f t="shared" si="13"/>
        <v>1265.3311421274225</v>
      </c>
      <c r="L130" s="4">
        <f t="shared" si="14"/>
        <v>1237.8820338008438</v>
      </c>
      <c r="M130" s="4">
        <f t="shared" si="15"/>
        <v>13037.972088480963</v>
      </c>
      <c r="N130" s="4">
        <f t="shared" si="16"/>
        <v>12755.136476283897</v>
      </c>
      <c r="O130" s="4">
        <f t="shared" si="17"/>
        <v>282.83561219706644</v>
      </c>
    </row>
    <row r="131" spans="1:15" x14ac:dyDescent="0.25">
      <c r="A131" s="4">
        <f>'Data - SKU Detail'!A120</f>
        <v>3</v>
      </c>
      <c r="B131" s="4">
        <f>'Data - SKU Detail'!B120</f>
        <v>19</v>
      </c>
      <c r="C131" s="4">
        <f>'Data - SKU Detail'!C120</f>
        <v>547.29999999999995</v>
      </c>
      <c r="D131" s="4">
        <f>'Data - SKU Detail'!F120</f>
        <v>18745</v>
      </c>
      <c r="E131" s="4">
        <f t="shared" si="9"/>
        <v>109.46</v>
      </c>
      <c r="F131" s="4">
        <f t="shared" si="10"/>
        <v>506.82803534246131</v>
      </c>
      <c r="G131" s="4">
        <f>'Data - SKU Detail'!G120</f>
        <v>10.9479068809548</v>
      </c>
      <c r="H131" s="4">
        <f>'Data - SKU Detail'!H120</f>
        <v>7.0551967079621303</v>
      </c>
      <c r="I131" s="4">
        <f t="shared" si="11"/>
        <v>47.643907368579207</v>
      </c>
      <c r="J131" s="4">
        <f t="shared" si="12"/>
        <v>30.703324578509488</v>
      </c>
      <c r="K131" s="4">
        <f t="shared" si="13"/>
        <v>301.05792503980985</v>
      </c>
      <c r="L131" s="4">
        <f t="shared" si="14"/>
        <v>284.11734224974015</v>
      </c>
      <c r="M131" s="4">
        <f t="shared" si="15"/>
        <v>32953.800474857584</v>
      </c>
      <c r="N131" s="4">
        <f t="shared" si="16"/>
        <v>31099.484282656555</v>
      </c>
      <c r="O131" s="4">
        <f t="shared" si="17"/>
        <v>1854.3161922010295</v>
      </c>
    </row>
    <row r="132" spans="1:15" x14ac:dyDescent="0.25">
      <c r="A132" s="4">
        <f>'Data - SKU Detail'!A121</f>
        <v>3</v>
      </c>
      <c r="B132" s="4">
        <f>'Data - SKU Detail'!B121</f>
        <v>20</v>
      </c>
      <c r="C132" s="4">
        <f>'Data - SKU Detail'!C121</f>
        <v>424.89</v>
      </c>
      <c r="D132" s="4">
        <f>'Data - SKU Detail'!F121</f>
        <v>22032</v>
      </c>
      <c r="E132" s="4">
        <f t="shared" si="9"/>
        <v>84.978000000000009</v>
      </c>
      <c r="F132" s="4">
        <f t="shared" si="10"/>
        <v>623.61899958271169</v>
      </c>
      <c r="G132" s="4">
        <f>'Data - SKU Detail'!G121</f>
        <v>13.1391174388233</v>
      </c>
      <c r="H132" s="4">
        <f>'Data - SKU Detail'!H121</f>
        <v>8.8633362397239495</v>
      </c>
      <c r="I132" s="4">
        <f t="shared" si="11"/>
        <v>57.179778835092321</v>
      </c>
      <c r="J132" s="4">
        <f t="shared" si="12"/>
        <v>38.572119344254986</v>
      </c>
      <c r="K132" s="4">
        <f t="shared" si="13"/>
        <v>368.98927862644814</v>
      </c>
      <c r="L132" s="4">
        <f t="shared" si="14"/>
        <v>350.38161913561083</v>
      </c>
      <c r="M132" s="4">
        <f t="shared" si="15"/>
        <v>31355.970919118314</v>
      </c>
      <c r="N132" s="4">
        <f t="shared" si="16"/>
        <v>29774.729230905941</v>
      </c>
      <c r="O132" s="4">
        <f t="shared" si="17"/>
        <v>1581.2416882123725</v>
      </c>
    </row>
    <row r="133" spans="1:15" x14ac:dyDescent="0.25">
      <c r="A133" s="4">
        <f>'Data - SKU Detail'!A122</f>
        <v>3</v>
      </c>
      <c r="B133" s="4">
        <f>'Data - SKU Detail'!B122</f>
        <v>21</v>
      </c>
      <c r="C133" s="4">
        <f>'Data - SKU Detail'!C122</f>
        <v>647.92999999999995</v>
      </c>
      <c r="D133" s="4">
        <f>'Data - SKU Detail'!F122</f>
        <v>18745</v>
      </c>
      <c r="E133" s="4">
        <f t="shared" si="9"/>
        <v>129.58599999999998</v>
      </c>
      <c r="F133" s="4">
        <f t="shared" si="10"/>
        <v>465.81053837098085</v>
      </c>
      <c r="G133" s="4">
        <f>'Data - SKU Detail'!G122</f>
        <v>10.5467584457204</v>
      </c>
      <c r="H133" s="4">
        <f>'Data - SKU Detail'!H122</f>
        <v>6.6418491140454696</v>
      </c>
      <c r="I133" s="4">
        <f t="shared" si="11"/>
        <v>45.898160067548865</v>
      </c>
      <c r="J133" s="4">
        <f t="shared" si="12"/>
        <v>28.904488080379451</v>
      </c>
      <c r="K133" s="4">
        <f t="shared" si="13"/>
        <v>278.80342925303927</v>
      </c>
      <c r="L133" s="4">
        <f t="shared" si="14"/>
        <v>261.80975726586985</v>
      </c>
      <c r="M133" s="4">
        <f t="shared" si="15"/>
        <v>36129.021183184341</v>
      </c>
      <c r="N133" s="4">
        <f t="shared" si="16"/>
        <v>33926.879205055004</v>
      </c>
      <c r="O133" s="4">
        <f t="shared" si="17"/>
        <v>2202.1419781293371</v>
      </c>
    </row>
    <row r="134" spans="1:15" x14ac:dyDescent="0.25">
      <c r="A134" s="4">
        <f>'Data - SKU Detail'!A123</f>
        <v>3</v>
      </c>
      <c r="B134" s="4">
        <f>'Data - SKU Detail'!B123</f>
        <v>22</v>
      </c>
      <c r="C134" s="4">
        <f>'Data - SKU Detail'!C123</f>
        <v>72.209999999999994</v>
      </c>
      <c r="D134" s="4">
        <f>'Data - SKU Detail'!F123</f>
        <v>37170</v>
      </c>
      <c r="E134" s="4">
        <f t="shared" si="9"/>
        <v>14.442</v>
      </c>
      <c r="F134" s="4">
        <f t="shared" si="10"/>
        <v>1964.844745338992</v>
      </c>
      <c r="G134" s="4">
        <f>'Data - SKU Detail'!G123</f>
        <v>16.6623963314109</v>
      </c>
      <c r="H134" s="4">
        <f>'Data - SKU Detail'!H123</f>
        <v>10.107554505358101</v>
      </c>
      <c r="I134" s="4">
        <f t="shared" si="11"/>
        <v>72.512643374169784</v>
      </c>
      <c r="J134" s="4">
        <f t="shared" si="12"/>
        <v>43.986800016894925</v>
      </c>
      <c r="K134" s="4">
        <f t="shared" si="13"/>
        <v>1054.9350160436657</v>
      </c>
      <c r="L134" s="4">
        <f t="shared" si="14"/>
        <v>1026.409172686391</v>
      </c>
      <c r="M134" s="4">
        <f t="shared" si="15"/>
        <v>15235.371501702619</v>
      </c>
      <c r="N134" s="4">
        <f t="shared" si="16"/>
        <v>14823.401271936858</v>
      </c>
      <c r="O134" s="4">
        <f t="shared" si="17"/>
        <v>411.97022976576045</v>
      </c>
    </row>
    <row r="135" spans="1:15" x14ac:dyDescent="0.25">
      <c r="A135" s="4">
        <f>'Data - SKU Detail'!A124</f>
        <v>3</v>
      </c>
      <c r="B135" s="4">
        <f>'Data - SKU Detail'!B124</f>
        <v>23</v>
      </c>
      <c r="C135" s="4">
        <f>'Data - SKU Detail'!C124</f>
        <v>1075.06</v>
      </c>
      <c r="D135" s="4">
        <f>'Data - SKU Detail'!F124</f>
        <v>13601</v>
      </c>
      <c r="E135" s="4">
        <f t="shared" si="9"/>
        <v>215.012</v>
      </c>
      <c r="F135" s="4">
        <f t="shared" si="10"/>
        <v>308.03474113323466</v>
      </c>
      <c r="G135" s="4">
        <f>'Data - SKU Detail'!G124</f>
        <v>9.8582584867603291</v>
      </c>
      <c r="H135" s="4">
        <f>'Data - SKU Detail'!H124</f>
        <v>6.5273446968220403</v>
      </c>
      <c r="I135" s="4">
        <f t="shared" si="11"/>
        <v>42.9018952449983</v>
      </c>
      <c r="J135" s="4">
        <f t="shared" si="12"/>
        <v>28.406179325399393</v>
      </c>
      <c r="K135" s="4">
        <f t="shared" si="13"/>
        <v>196.91926581161562</v>
      </c>
      <c r="L135" s="4">
        <f t="shared" si="14"/>
        <v>182.42354989201672</v>
      </c>
      <c r="M135" s="4">
        <f t="shared" si="15"/>
        <v>42340.005180687098</v>
      </c>
      <c r="N135" s="4">
        <f t="shared" si="16"/>
        <v>39223.252309382297</v>
      </c>
      <c r="O135" s="4">
        <f t="shared" si="17"/>
        <v>3116.7528713048014</v>
      </c>
    </row>
    <row r="136" spans="1:15" x14ac:dyDescent="0.25">
      <c r="A136" s="4">
        <f>'Data - SKU Detail'!A125</f>
        <v>3</v>
      </c>
      <c r="B136" s="4">
        <f>'Data - SKU Detail'!B125</f>
        <v>24</v>
      </c>
      <c r="C136" s="4">
        <f>'Data - SKU Detail'!C125</f>
        <v>141.85</v>
      </c>
      <c r="D136" s="4">
        <f>'Data - SKU Detail'!F125</f>
        <v>30663</v>
      </c>
      <c r="E136" s="4">
        <f t="shared" si="9"/>
        <v>28.37</v>
      </c>
      <c r="F136" s="4">
        <f t="shared" si="10"/>
        <v>1273.2781402419689</v>
      </c>
      <c r="G136" s="4">
        <f>'Data - SKU Detail'!G125</f>
        <v>17.949399999554402</v>
      </c>
      <c r="H136" s="4">
        <f>'Data - SKU Detail'!H125</f>
        <v>12.8857246116997</v>
      </c>
      <c r="I136" s="4">
        <f t="shared" si="11"/>
        <v>78.113520712167642</v>
      </c>
      <c r="J136" s="4">
        <f t="shared" si="12"/>
        <v>56.077045270163943</v>
      </c>
      <c r="K136" s="4">
        <f t="shared" si="13"/>
        <v>714.75259083315211</v>
      </c>
      <c r="L136" s="4">
        <f t="shared" si="14"/>
        <v>692.71611539114838</v>
      </c>
      <c r="M136" s="4">
        <f t="shared" si="15"/>
        <v>20277.531001936528</v>
      </c>
      <c r="N136" s="4">
        <f t="shared" si="16"/>
        <v>19652.35619364688</v>
      </c>
      <c r="O136" s="4">
        <f t="shared" si="17"/>
        <v>625.17480828964835</v>
      </c>
    </row>
    <row r="137" spans="1:15" x14ac:dyDescent="0.25">
      <c r="A137" s="4">
        <f>'Data - SKU Detail'!A126</f>
        <v>3</v>
      </c>
      <c r="B137" s="4">
        <f>'Data - SKU Detail'!B126</f>
        <v>25</v>
      </c>
      <c r="C137" s="4">
        <f>'Data - SKU Detail'!C126</f>
        <v>56.06</v>
      </c>
      <c r="D137" s="4">
        <f>'Data - SKU Detail'!F126</f>
        <v>37391</v>
      </c>
      <c r="E137" s="4">
        <f t="shared" si="9"/>
        <v>11.212000000000002</v>
      </c>
      <c r="F137" s="4">
        <f t="shared" si="10"/>
        <v>2236.5964184593713</v>
      </c>
      <c r="G137" s="4">
        <f>'Data - SKU Detail'!G126</f>
        <v>13.792447402516</v>
      </c>
      <c r="H137" s="4">
        <f>'Data - SKU Detail'!H126</f>
        <v>8.5194173045763399</v>
      </c>
      <c r="I137" s="4">
        <f t="shared" si="11"/>
        <v>60.022988282319332</v>
      </c>
      <c r="J137" s="4">
        <f t="shared" si="12"/>
        <v>37.075427596083664</v>
      </c>
      <c r="K137" s="4">
        <f t="shared" si="13"/>
        <v>1178.321197512005</v>
      </c>
      <c r="L137" s="4">
        <f t="shared" si="14"/>
        <v>1155.3736368257694</v>
      </c>
      <c r="M137" s="4">
        <f t="shared" si="15"/>
        <v>13211.337266504603</v>
      </c>
      <c r="N137" s="4">
        <f t="shared" si="16"/>
        <v>12954.049216090529</v>
      </c>
      <c r="O137" s="4">
        <f t="shared" si="17"/>
        <v>257.28805041407395</v>
      </c>
    </row>
    <row r="138" spans="1:15" x14ac:dyDescent="0.25">
      <c r="A138" s="4">
        <f>'Data - SKU Detail'!A127</f>
        <v>3</v>
      </c>
      <c r="B138" s="4">
        <f>'Data - SKU Detail'!B127</f>
        <v>26</v>
      </c>
      <c r="C138" s="4">
        <f>'Data - SKU Detail'!C127</f>
        <v>390.5</v>
      </c>
      <c r="D138" s="4">
        <f>'Data - SKU Detail'!F127</f>
        <v>22126</v>
      </c>
      <c r="E138" s="4">
        <f t="shared" si="9"/>
        <v>78.100000000000009</v>
      </c>
      <c r="F138" s="4">
        <f t="shared" si="10"/>
        <v>651.88586858391932</v>
      </c>
      <c r="G138" s="4">
        <f>'Data - SKU Detail'!G127</f>
        <v>11.8835878746281</v>
      </c>
      <c r="H138" s="4">
        <f>'Data - SKU Detail'!H127</f>
        <v>8.3307020037371693</v>
      </c>
      <c r="I138" s="4">
        <f t="shared" si="11"/>
        <v>51.715872820410198</v>
      </c>
      <c r="J138" s="4">
        <f t="shared" si="12"/>
        <v>36.254162452893951</v>
      </c>
      <c r="K138" s="4">
        <f t="shared" si="13"/>
        <v>377.65880711236986</v>
      </c>
      <c r="L138" s="4">
        <f t="shared" si="14"/>
        <v>362.19709674485364</v>
      </c>
      <c r="M138" s="4">
        <f t="shared" si="15"/>
        <v>29495.152835476089</v>
      </c>
      <c r="N138" s="4">
        <f t="shared" si="16"/>
        <v>28287.593255773074</v>
      </c>
      <c r="O138" s="4">
        <f t="shared" si="17"/>
        <v>1207.5595797030146</v>
      </c>
    </row>
    <row r="139" spans="1:15" x14ac:dyDescent="0.25">
      <c r="A139" s="4">
        <f>'Data - SKU Detail'!A128</f>
        <v>3</v>
      </c>
      <c r="B139" s="4">
        <f>'Data - SKU Detail'!B128</f>
        <v>27</v>
      </c>
      <c r="C139" s="4">
        <f>'Data - SKU Detail'!C128</f>
        <v>1639.41</v>
      </c>
      <c r="D139" s="4">
        <f>'Data - SKU Detail'!F128</f>
        <v>10257</v>
      </c>
      <c r="E139" s="4">
        <f t="shared" si="9"/>
        <v>327.88200000000006</v>
      </c>
      <c r="F139" s="4">
        <f t="shared" si="10"/>
        <v>216.61923587686434</v>
      </c>
      <c r="G139" s="4">
        <f>'Data - SKU Detail'!G128</f>
        <v>8.3065951037060604</v>
      </c>
      <c r="H139" s="4">
        <f>'Data - SKU Detail'!H128</f>
        <v>5.5018671500113498</v>
      </c>
      <c r="I139" s="4">
        <f t="shared" si="11"/>
        <v>36.149252270106061</v>
      </c>
      <c r="J139" s="4">
        <f t="shared" si="12"/>
        <v>23.943430621005465</v>
      </c>
      <c r="K139" s="4">
        <f t="shared" si="13"/>
        <v>144.45887020853823</v>
      </c>
      <c r="L139" s="4">
        <f t="shared" si="14"/>
        <v>132.25304855943764</v>
      </c>
      <c r="M139" s="4">
        <f t="shared" si="15"/>
        <v>47365.463281715944</v>
      </c>
      <c r="N139" s="4">
        <f t="shared" si="16"/>
        <v>43363.394067765541</v>
      </c>
      <c r="O139" s="4">
        <f t="shared" si="17"/>
        <v>4002.0692139504026</v>
      </c>
    </row>
    <row r="140" spans="1:15" x14ac:dyDescent="0.25">
      <c r="A140" s="4">
        <f>'Data - SKU Detail'!A129</f>
        <v>3</v>
      </c>
      <c r="B140" s="4">
        <f>'Data - SKU Detail'!B129</f>
        <v>28</v>
      </c>
      <c r="C140" s="4">
        <f>'Data - SKU Detail'!C129</f>
        <v>43.52</v>
      </c>
      <c r="D140" s="4">
        <f>'Data - SKU Detail'!F129</f>
        <v>40834</v>
      </c>
      <c r="E140" s="4">
        <f t="shared" si="9"/>
        <v>8.7040000000000006</v>
      </c>
      <c r="F140" s="4">
        <f t="shared" si="10"/>
        <v>2652.755053713026</v>
      </c>
      <c r="G140" s="4">
        <f>'Data - SKU Detail'!G129</f>
        <v>17.411780230027802</v>
      </c>
      <c r="H140" s="4">
        <f>'Data - SKU Detail'!H129</f>
        <v>10.6288523445881</v>
      </c>
      <c r="I140" s="4">
        <f t="shared" si="11"/>
        <v>75.773867408813246</v>
      </c>
      <c r="J140" s="4">
        <f t="shared" si="12"/>
        <v>46.25542234203737</v>
      </c>
      <c r="K140" s="4">
        <f t="shared" si="13"/>
        <v>1402.1513942653262</v>
      </c>
      <c r="L140" s="4">
        <f t="shared" si="14"/>
        <v>1372.6329491985503</v>
      </c>
      <c r="M140" s="4">
        <f t="shared" si="15"/>
        <v>12204.325735685399</v>
      </c>
      <c r="N140" s="4">
        <f t="shared" si="16"/>
        <v>11947.397189824182</v>
      </c>
      <c r="O140" s="4">
        <f t="shared" si="17"/>
        <v>256.92854586121757</v>
      </c>
    </row>
    <row r="141" spans="1:15" x14ac:dyDescent="0.25">
      <c r="A141" s="4">
        <f>'Data - SKU Detail'!A130</f>
        <v>3</v>
      </c>
      <c r="B141" s="4">
        <f>'Data - SKU Detail'!B130</f>
        <v>29</v>
      </c>
      <c r="C141" s="4">
        <f>'Data - SKU Detail'!C130</f>
        <v>119.82</v>
      </c>
      <c r="D141" s="4">
        <f>'Data - SKU Detail'!F130</f>
        <v>32386</v>
      </c>
      <c r="E141" s="4">
        <f t="shared" ref="E141:E204" si="18">C141*$B$6</f>
        <v>23.963999999999999</v>
      </c>
      <c r="F141" s="4">
        <f t="shared" ref="F141:F204" si="19">SQRT(2*D141*$B$5/E141)</f>
        <v>1423.7857102186883</v>
      </c>
      <c r="G141" s="4">
        <f>'Data - SKU Detail'!G130</f>
        <v>15.2184405139626</v>
      </c>
      <c r="H141" s="4">
        <f>'Data - SKU Detail'!H130</f>
        <v>10.8241145763878</v>
      </c>
      <c r="I141" s="4">
        <f t="shared" ref="I141:I204" si="20">$B$9*G141*SQRT($B$7)</f>
        <v>66.228730114868469</v>
      </c>
      <c r="J141" s="4">
        <f t="shared" ref="J141:J204" si="21">$B$9*H141*SQRT($B$7)</f>
        <v>47.105178901497219</v>
      </c>
      <c r="K141" s="4">
        <f t="shared" ref="K141:K204" si="22">F141/2+I141</f>
        <v>778.12158522421259</v>
      </c>
      <c r="L141" s="4">
        <f t="shared" ref="L141:L204" si="23">F141/2+J141</f>
        <v>758.99803401084137</v>
      </c>
      <c r="M141" s="4">
        <f t="shared" ref="M141:M204" si="24">K141*E141</f>
        <v>18646.905668313029</v>
      </c>
      <c r="N141" s="4">
        <f t="shared" ref="N141:N204" si="25">L141*E141</f>
        <v>18188.6288870358</v>
      </c>
      <c r="O141" s="4">
        <f t="shared" ref="O141:O204" si="26">M141-N141</f>
        <v>458.27678127722902</v>
      </c>
    </row>
    <row r="142" spans="1:15" x14ac:dyDescent="0.25">
      <c r="A142" s="4">
        <f>'Data - SKU Detail'!A131</f>
        <v>3</v>
      </c>
      <c r="B142" s="4">
        <f>'Data - SKU Detail'!B131</f>
        <v>30</v>
      </c>
      <c r="C142" s="4">
        <f>'Data - SKU Detail'!C131</f>
        <v>595.5</v>
      </c>
      <c r="D142" s="4">
        <f>'Data - SKU Detail'!F131</f>
        <v>18762</v>
      </c>
      <c r="E142" s="4">
        <f t="shared" si="18"/>
        <v>119.10000000000001</v>
      </c>
      <c r="F142" s="4">
        <f t="shared" si="19"/>
        <v>486.10413413089128</v>
      </c>
      <c r="G142" s="4">
        <f>'Data - SKU Detail'!G131</f>
        <v>11.2499031157903</v>
      </c>
      <c r="H142" s="4">
        <f>'Data - SKU Detail'!H131</f>
        <v>7.5080570195905798</v>
      </c>
      <c r="I142" s="4">
        <f t="shared" si="20"/>
        <v>48.958156822343952</v>
      </c>
      <c r="J142" s="4">
        <f t="shared" si="21"/>
        <v>32.674115431294858</v>
      </c>
      <c r="K142" s="4">
        <f t="shared" si="22"/>
        <v>292.01022388778961</v>
      </c>
      <c r="L142" s="4">
        <f t="shared" si="23"/>
        <v>275.72618249674048</v>
      </c>
      <c r="M142" s="4">
        <f t="shared" si="24"/>
        <v>34778.417665035748</v>
      </c>
      <c r="N142" s="4">
        <f t="shared" si="25"/>
        <v>32838.988335361792</v>
      </c>
      <c r="O142" s="4">
        <f t="shared" si="26"/>
        <v>1939.4293296739561</v>
      </c>
    </row>
    <row r="143" spans="1:15" x14ac:dyDescent="0.25">
      <c r="A143" s="4">
        <f>'Data - SKU Detail'!A132</f>
        <v>3</v>
      </c>
      <c r="B143" s="4">
        <f>'Data - SKU Detail'!B132</f>
        <v>31</v>
      </c>
      <c r="C143" s="4">
        <f>'Data - SKU Detail'!C132</f>
        <v>198.8</v>
      </c>
      <c r="D143" s="4">
        <f>'Data - SKU Detail'!F132</f>
        <v>27314</v>
      </c>
      <c r="E143" s="4">
        <f t="shared" si="18"/>
        <v>39.760000000000005</v>
      </c>
      <c r="F143" s="4">
        <f t="shared" si="19"/>
        <v>1015.114646963028</v>
      </c>
      <c r="G143" s="4">
        <f>'Data - SKU Detail'!G132</f>
        <v>13.803653518322401</v>
      </c>
      <c r="H143" s="4">
        <f>'Data - SKU Detail'!H132</f>
        <v>8.5952242978419893</v>
      </c>
      <c r="I143" s="4">
        <f t="shared" si="20"/>
        <v>60.071755882304174</v>
      </c>
      <c r="J143" s="4">
        <f t="shared" si="21"/>
        <v>37.405330051805329</v>
      </c>
      <c r="K143" s="4">
        <f t="shared" si="22"/>
        <v>567.62907936381816</v>
      </c>
      <c r="L143" s="4">
        <f t="shared" si="23"/>
        <v>544.96265353331933</v>
      </c>
      <c r="M143" s="4">
        <f t="shared" si="24"/>
        <v>22568.932195505415</v>
      </c>
      <c r="N143" s="4">
        <f t="shared" si="25"/>
        <v>21667.715104484778</v>
      </c>
      <c r="O143" s="4">
        <f t="shared" si="26"/>
        <v>901.21709102063687</v>
      </c>
    </row>
    <row r="144" spans="1:15" x14ac:dyDescent="0.25">
      <c r="A144" s="4">
        <f>'Data - SKU Detail'!A133</f>
        <v>3</v>
      </c>
      <c r="B144" s="4">
        <f>'Data - SKU Detail'!B133</f>
        <v>32</v>
      </c>
      <c r="C144" s="4">
        <f>'Data - SKU Detail'!C133</f>
        <v>462.3</v>
      </c>
      <c r="D144" s="4">
        <f>'Data - SKU Detail'!F133</f>
        <v>20373</v>
      </c>
      <c r="E144" s="4">
        <f t="shared" si="18"/>
        <v>92.460000000000008</v>
      </c>
      <c r="F144" s="4">
        <f t="shared" si="19"/>
        <v>574.9051215348793</v>
      </c>
      <c r="G144" s="4">
        <f>'Data - SKU Detail'!G133</f>
        <v>14.442940931873499</v>
      </c>
      <c r="H144" s="4">
        <f>'Data - SKU Detail'!H133</f>
        <v>8.06977946805622</v>
      </c>
      <c r="I144" s="4">
        <f t="shared" si="20"/>
        <v>62.853853925731336</v>
      </c>
      <c r="J144" s="4">
        <f t="shared" si="21"/>
        <v>35.118660547777843</v>
      </c>
      <c r="K144" s="4">
        <f t="shared" si="22"/>
        <v>350.30641469317101</v>
      </c>
      <c r="L144" s="4">
        <f t="shared" si="23"/>
        <v>322.57122131521749</v>
      </c>
      <c r="M144" s="4">
        <f t="shared" si="24"/>
        <v>32389.331102530596</v>
      </c>
      <c r="N144" s="4">
        <f t="shared" si="25"/>
        <v>29824.935122805011</v>
      </c>
      <c r="O144" s="4">
        <f t="shared" si="26"/>
        <v>2564.3959797255848</v>
      </c>
    </row>
    <row r="145" spans="1:15" x14ac:dyDescent="0.25">
      <c r="A145" s="4">
        <f>'Data - SKU Detail'!A134</f>
        <v>3</v>
      </c>
      <c r="B145" s="4">
        <f>'Data - SKU Detail'!B134</f>
        <v>33</v>
      </c>
      <c r="C145" s="4">
        <f>'Data - SKU Detail'!C134</f>
        <v>130.37</v>
      </c>
      <c r="D145" s="4">
        <f>'Data - SKU Detail'!F134</f>
        <v>32187</v>
      </c>
      <c r="E145" s="4">
        <f t="shared" si="18"/>
        <v>26.074000000000002</v>
      </c>
      <c r="F145" s="4">
        <f t="shared" si="19"/>
        <v>1360.761611687137</v>
      </c>
      <c r="G145" s="4">
        <f>'Data - SKU Detail'!G134</f>
        <v>13.214731207221799</v>
      </c>
      <c r="H145" s="4">
        <f>'Data - SKU Detail'!H134</f>
        <v>9.2569661999473691</v>
      </c>
      <c r="I145" s="4">
        <f t="shared" si="20"/>
        <v>57.508840400608044</v>
      </c>
      <c r="J145" s="4">
        <f t="shared" si="21"/>
        <v>40.285147192071918</v>
      </c>
      <c r="K145" s="4">
        <f t="shared" si="22"/>
        <v>737.88964624417656</v>
      </c>
      <c r="L145" s="4">
        <f t="shared" si="23"/>
        <v>720.66595303564043</v>
      </c>
      <c r="M145" s="4">
        <f t="shared" si="24"/>
        <v>19239.734636170662</v>
      </c>
      <c r="N145" s="4">
        <f t="shared" si="25"/>
        <v>18790.64405945129</v>
      </c>
      <c r="O145" s="4">
        <f t="shared" si="26"/>
        <v>449.09057671937262</v>
      </c>
    </row>
    <row r="146" spans="1:15" x14ac:dyDescent="0.25">
      <c r="A146" s="4">
        <f>'Data - SKU Detail'!A135</f>
        <v>3</v>
      </c>
      <c r="B146" s="4">
        <f>'Data - SKU Detail'!B135</f>
        <v>34</v>
      </c>
      <c r="C146" s="4">
        <f>'Data - SKU Detail'!C135</f>
        <v>1384.8</v>
      </c>
      <c r="D146" s="4">
        <f>'Data - SKU Detail'!F135</f>
        <v>11876</v>
      </c>
      <c r="E146" s="4">
        <f t="shared" si="18"/>
        <v>276.95999999999998</v>
      </c>
      <c r="F146" s="4">
        <f t="shared" si="19"/>
        <v>253.61340139212788</v>
      </c>
      <c r="G146" s="4">
        <f>'Data - SKU Detail'!G135</f>
        <v>9.1126883709165192</v>
      </c>
      <c r="H146" s="4">
        <f>'Data - SKU Detail'!H135</f>
        <v>5.9750944437610203</v>
      </c>
      <c r="I146" s="4">
        <f t="shared" si="20"/>
        <v>39.6572683110738</v>
      </c>
      <c r="J146" s="4">
        <f t="shared" si="21"/>
        <v>26.002856006410859</v>
      </c>
      <c r="K146" s="4">
        <f t="shared" si="22"/>
        <v>166.46396900713773</v>
      </c>
      <c r="L146" s="4">
        <f t="shared" si="23"/>
        <v>152.80955670247479</v>
      </c>
      <c r="M146" s="4">
        <f t="shared" si="24"/>
        <v>46103.860856216867</v>
      </c>
      <c r="N146" s="4">
        <f t="shared" si="25"/>
        <v>42322.134824317414</v>
      </c>
      <c r="O146" s="4">
        <f t="shared" si="26"/>
        <v>3781.7260318994522</v>
      </c>
    </row>
    <row r="147" spans="1:15" x14ac:dyDescent="0.25">
      <c r="A147" s="4">
        <f>'Data - SKU Detail'!A136</f>
        <v>3</v>
      </c>
      <c r="B147" s="4">
        <f>'Data - SKU Detail'!B136</f>
        <v>35</v>
      </c>
      <c r="C147" s="4">
        <f>'Data - SKU Detail'!C136</f>
        <v>167.93</v>
      </c>
      <c r="D147" s="4">
        <f>'Data - SKU Detail'!F136</f>
        <v>30203</v>
      </c>
      <c r="E147" s="4">
        <f t="shared" si="18"/>
        <v>33.586000000000006</v>
      </c>
      <c r="F147" s="4">
        <f t="shared" si="19"/>
        <v>1161.4259598560193</v>
      </c>
      <c r="G147" s="4">
        <f>'Data - SKU Detail'!G136</f>
        <v>13.7412918174468</v>
      </c>
      <c r="H147" s="4">
        <f>'Data - SKU Detail'!H136</f>
        <v>8.7893835352271896</v>
      </c>
      <c r="I147" s="4">
        <f t="shared" si="20"/>
        <v>59.800365640117079</v>
      </c>
      <c r="J147" s="4">
        <f t="shared" si="21"/>
        <v>38.250286518947632</v>
      </c>
      <c r="K147" s="4">
        <f t="shared" si="22"/>
        <v>640.51334556812674</v>
      </c>
      <c r="L147" s="4">
        <f t="shared" si="23"/>
        <v>618.96326644695728</v>
      </c>
      <c r="M147" s="4">
        <f t="shared" si="24"/>
        <v>21512.28122425111</v>
      </c>
      <c r="N147" s="4">
        <f t="shared" si="25"/>
        <v>20788.500266887509</v>
      </c>
      <c r="O147" s="4">
        <f t="shared" si="26"/>
        <v>723.78095736360046</v>
      </c>
    </row>
    <row r="148" spans="1:15" x14ac:dyDescent="0.25">
      <c r="A148" s="4">
        <f>'Data - SKU Detail'!A137</f>
        <v>3</v>
      </c>
      <c r="B148" s="4">
        <f>'Data - SKU Detail'!B137</f>
        <v>36</v>
      </c>
      <c r="C148" s="4">
        <f>'Data - SKU Detail'!C137</f>
        <v>78.569999999999993</v>
      </c>
      <c r="D148" s="4">
        <f>'Data - SKU Detail'!F137</f>
        <v>35907</v>
      </c>
      <c r="E148" s="4">
        <f t="shared" si="18"/>
        <v>15.713999999999999</v>
      </c>
      <c r="F148" s="4">
        <f t="shared" si="19"/>
        <v>1851.3640059975569</v>
      </c>
      <c r="G148" s="4">
        <f>'Data - SKU Detail'!G137</f>
        <v>15.341482476201801</v>
      </c>
      <c r="H148" s="4">
        <f>'Data - SKU Detail'!H137</f>
        <v>10.2395194001368</v>
      </c>
      <c r="I148" s="4">
        <f t="shared" si="20"/>
        <v>66.764193186953122</v>
      </c>
      <c r="J148" s="4">
        <f t="shared" si="21"/>
        <v>44.561094563889867</v>
      </c>
      <c r="K148" s="4">
        <f t="shared" si="22"/>
        <v>992.44619618573154</v>
      </c>
      <c r="L148" s="4">
        <f t="shared" si="23"/>
        <v>970.24309756266825</v>
      </c>
      <c r="M148" s="4">
        <f t="shared" si="24"/>
        <v>15595.299526862584</v>
      </c>
      <c r="N148" s="4">
        <f t="shared" si="25"/>
        <v>15246.400035099769</v>
      </c>
      <c r="O148" s="4">
        <f t="shared" si="26"/>
        <v>348.89949176281516</v>
      </c>
    </row>
    <row r="149" spans="1:15" x14ac:dyDescent="0.25">
      <c r="A149" s="4">
        <f>'Data - SKU Detail'!A138</f>
        <v>3</v>
      </c>
      <c r="B149" s="4">
        <f>'Data - SKU Detail'!B138</f>
        <v>37</v>
      </c>
      <c r="C149" s="4">
        <f>'Data - SKU Detail'!C138</f>
        <v>1169.73</v>
      </c>
      <c r="D149" s="4">
        <f>'Data - SKU Detail'!F138</f>
        <v>13643</v>
      </c>
      <c r="E149" s="4">
        <f t="shared" si="18"/>
        <v>233.94600000000003</v>
      </c>
      <c r="F149" s="4">
        <f t="shared" si="19"/>
        <v>295.76226063553077</v>
      </c>
      <c r="G149" s="4">
        <f>'Data - SKU Detail'!G138</f>
        <v>8.9428295138244795</v>
      </c>
      <c r="H149" s="4">
        <f>'Data - SKU Detail'!H138</f>
        <v>6.1766733075119404</v>
      </c>
      <c r="I149" s="4">
        <f t="shared" si="20"/>
        <v>38.918064028371667</v>
      </c>
      <c r="J149" s="4">
        <f t="shared" si="21"/>
        <v>26.88010174995291</v>
      </c>
      <c r="K149" s="4">
        <f t="shared" si="22"/>
        <v>186.79919434613706</v>
      </c>
      <c r="L149" s="4">
        <f t="shared" si="23"/>
        <v>174.76123206771828</v>
      </c>
      <c r="M149" s="4">
        <f t="shared" si="24"/>
        <v>43700.924320501384</v>
      </c>
      <c r="N149" s="4">
        <f t="shared" si="25"/>
        <v>40884.691197314423</v>
      </c>
      <c r="O149" s="4">
        <f t="shared" si="26"/>
        <v>2816.2331231869612</v>
      </c>
    </row>
    <row r="150" spans="1:15" x14ac:dyDescent="0.25">
      <c r="A150" s="4">
        <f>'Data - SKU Detail'!A139</f>
        <v>3</v>
      </c>
      <c r="B150" s="4">
        <f>'Data - SKU Detail'!B139</f>
        <v>38</v>
      </c>
      <c r="C150" s="4">
        <f>'Data - SKU Detail'!C139</f>
        <v>66.37</v>
      </c>
      <c r="D150" s="4">
        <f>'Data - SKU Detail'!F139</f>
        <v>37289</v>
      </c>
      <c r="E150" s="4">
        <f t="shared" si="18"/>
        <v>13.274000000000001</v>
      </c>
      <c r="F150" s="4">
        <f t="shared" si="19"/>
        <v>2052.7454174060731</v>
      </c>
      <c r="G150" s="4">
        <f>'Data - SKU Detail'!G139</f>
        <v>17.017917962329498</v>
      </c>
      <c r="H150" s="4">
        <f>'Data - SKU Detail'!H139</f>
        <v>10.6689081816239</v>
      </c>
      <c r="I150" s="4">
        <f t="shared" si="20"/>
        <v>74.05982858822</v>
      </c>
      <c r="J150" s="4">
        <f t="shared" si="21"/>
        <v>46.429740283362257</v>
      </c>
      <c r="K150" s="4">
        <f t="shared" si="22"/>
        <v>1100.4325372912565</v>
      </c>
      <c r="L150" s="4">
        <f t="shared" si="23"/>
        <v>1072.8024489863988</v>
      </c>
      <c r="M150" s="4">
        <f t="shared" si="24"/>
        <v>14607.14150000414</v>
      </c>
      <c r="N150" s="4">
        <f t="shared" si="25"/>
        <v>14240.379707845457</v>
      </c>
      <c r="O150" s="4">
        <f t="shared" si="26"/>
        <v>366.76179215868251</v>
      </c>
    </row>
    <row r="151" spans="1:15" x14ac:dyDescent="0.25">
      <c r="A151" s="4">
        <f>'Data - SKU Detail'!A140</f>
        <v>3</v>
      </c>
      <c r="B151" s="4">
        <f>'Data - SKU Detail'!B140</f>
        <v>39</v>
      </c>
      <c r="C151" s="4">
        <f>'Data - SKU Detail'!C140</f>
        <v>503.01</v>
      </c>
      <c r="D151" s="4">
        <f>'Data - SKU Detail'!F140</f>
        <v>20492</v>
      </c>
      <c r="E151" s="4">
        <f t="shared" si="18"/>
        <v>100.602</v>
      </c>
      <c r="F151" s="4">
        <f t="shared" si="19"/>
        <v>552.75731140818255</v>
      </c>
      <c r="G151" s="4">
        <f>'Data - SKU Detail'!G140</f>
        <v>12.8331756225792</v>
      </c>
      <c r="H151" s="4">
        <f>'Data - SKU Detail'!H140</f>
        <v>8.35020602364213</v>
      </c>
      <c r="I151" s="4">
        <f t="shared" si="20"/>
        <v>55.848358709600944</v>
      </c>
      <c r="J151" s="4">
        <f t="shared" si="21"/>
        <v>36.339041482992705</v>
      </c>
      <c r="K151" s="4">
        <f t="shared" si="22"/>
        <v>332.22701441369225</v>
      </c>
      <c r="L151" s="4">
        <f t="shared" si="23"/>
        <v>312.71769718708396</v>
      </c>
      <c r="M151" s="4">
        <f t="shared" si="24"/>
        <v>33422.702104046271</v>
      </c>
      <c r="N151" s="4">
        <f t="shared" si="25"/>
        <v>31460.025772415021</v>
      </c>
      <c r="O151" s="4">
        <f t="shared" si="26"/>
        <v>1962.6763316312499</v>
      </c>
    </row>
    <row r="152" spans="1:15" x14ac:dyDescent="0.25">
      <c r="A152" s="4">
        <f>'Data - SKU Detail'!A141</f>
        <v>3</v>
      </c>
      <c r="B152" s="4">
        <f>'Data - SKU Detail'!B141</f>
        <v>40</v>
      </c>
      <c r="C152" s="4">
        <f>'Data - SKU Detail'!C141</f>
        <v>1272.73</v>
      </c>
      <c r="D152" s="4">
        <f>'Data - SKU Detail'!F141</f>
        <v>13962</v>
      </c>
      <c r="E152" s="4">
        <f t="shared" si="18"/>
        <v>254.54600000000002</v>
      </c>
      <c r="F152" s="4">
        <f t="shared" si="19"/>
        <v>286.83775051949118</v>
      </c>
      <c r="G152" s="4">
        <f>'Data - SKU Detail'!G141</f>
        <v>9.9738489882646206</v>
      </c>
      <c r="H152" s="4">
        <f>'Data - SKU Detail'!H141</f>
        <v>7.0074868100101</v>
      </c>
      <c r="I152" s="4">
        <f t="shared" si="20"/>
        <v>43.404930501531076</v>
      </c>
      <c r="J152" s="4">
        <f t="shared" si="21"/>
        <v>30.495697131244185</v>
      </c>
      <c r="K152" s="4">
        <f t="shared" si="22"/>
        <v>186.82380576127667</v>
      </c>
      <c r="L152" s="4">
        <f t="shared" si="23"/>
        <v>173.91457239098978</v>
      </c>
      <c r="M152" s="4">
        <f t="shared" si="24"/>
        <v>47555.252461309938</v>
      </c>
      <c r="N152" s="4">
        <f t="shared" si="25"/>
        <v>44269.258743836886</v>
      </c>
      <c r="O152" s="4">
        <f t="shared" si="26"/>
        <v>3285.9937174730512</v>
      </c>
    </row>
    <row r="153" spans="1:15" x14ac:dyDescent="0.25">
      <c r="A153" s="4">
        <f>'Data - SKU Detail'!A142</f>
        <v>3</v>
      </c>
      <c r="B153" s="4">
        <f>'Data - SKU Detail'!B142</f>
        <v>41</v>
      </c>
      <c r="C153" s="4">
        <f>'Data - SKU Detail'!C142</f>
        <v>2111.73</v>
      </c>
      <c r="D153" s="4">
        <f>'Data - SKU Detail'!F142</f>
        <v>10354</v>
      </c>
      <c r="E153" s="4">
        <f t="shared" si="18"/>
        <v>422.346</v>
      </c>
      <c r="F153" s="4">
        <f t="shared" si="19"/>
        <v>191.76330990101687</v>
      </c>
      <c r="G153" s="4">
        <f>'Data - SKU Detail'!G142</f>
        <v>7.6737401327786801</v>
      </c>
      <c r="H153" s="4">
        <f>'Data - SKU Detail'!H142</f>
        <v>5.14261240716404</v>
      </c>
      <c r="I153" s="4">
        <f t="shared" si="20"/>
        <v>33.395147404173976</v>
      </c>
      <c r="J153" s="4">
        <f t="shared" si="21"/>
        <v>22.379999375557457</v>
      </c>
      <c r="K153" s="4">
        <f t="shared" si="22"/>
        <v>129.27680235468242</v>
      </c>
      <c r="L153" s="4">
        <f t="shared" si="23"/>
        <v>118.26165432606589</v>
      </c>
      <c r="M153" s="4">
        <f t="shared" si="24"/>
        <v>54599.540367290698</v>
      </c>
      <c r="N153" s="4">
        <f t="shared" si="25"/>
        <v>49947.336657996624</v>
      </c>
      <c r="O153" s="4">
        <f t="shared" si="26"/>
        <v>4652.2037092940736</v>
      </c>
    </row>
    <row r="154" spans="1:15" x14ac:dyDescent="0.25">
      <c r="A154" s="4">
        <f>'Data - SKU Detail'!A143</f>
        <v>3</v>
      </c>
      <c r="B154" s="4">
        <f>'Data - SKU Detail'!B143</f>
        <v>42</v>
      </c>
      <c r="C154" s="4">
        <f>'Data - SKU Detail'!C143</f>
        <v>704.99</v>
      </c>
      <c r="D154" s="4">
        <f>'Data - SKU Detail'!F143</f>
        <v>17174</v>
      </c>
      <c r="E154" s="4">
        <f t="shared" si="18"/>
        <v>140.99800000000002</v>
      </c>
      <c r="F154" s="4">
        <f t="shared" si="19"/>
        <v>427.43972582795271</v>
      </c>
      <c r="G154" s="4">
        <f>'Data - SKU Detail'!G143</f>
        <v>11.3024907512052</v>
      </c>
      <c r="H154" s="4">
        <f>'Data - SKU Detail'!H143</f>
        <v>7.3964775123389099</v>
      </c>
      <c r="I154" s="4">
        <f t="shared" si="20"/>
        <v>49.187011566696846</v>
      </c>
      <c r="J154" s="4">
        <f t="shared" si="21"/>
        <v>32.188535514920318</v>
      </c>
      <c r="K154" s="4">
        <f t="shared" si="22"/>
        <v>262.9068744806732</v>
      </c>
      <c r="L154" s="4">
        <f t="shared" si="23"/>
        <v>245.90839842889667</v>
      </c>
      <c r="M154" s="4">
        <f t="shared" si="24"/>
        <v>37069.343488025967</v>
      </c>
      <c r="N154" s="4">
        <f t="shared" si="25"/>
        <v>34672.592361677576</v>
      </c>
      <c r="O154" s="4">
        <f t="shared" si="26"/>
        <v>2396.7511263483902</v>
      </c>
    </row>
    <row r="155" spans="1:15" x14ac:dyDescent="0.25">
      <c r="A155" s="4">
        <f>'Data - SKU Detail'!A144</f>
        <v>3</v>
      </c>
      <c r="B155" s="4">
        <f>'Data - SKU Detail'!B144</f>
        <v>43</v>
      </c>
      <c r="C155" s="4">
        <f>'Data - SKU Detail'!C144</f>
        <v>358.9</v>
      </c>
      <c r="D155" s="4">
        <f>'Data - SKU Detail'!F144</f>
        <v>23634</v>
      </c>
      <c r="E155" s="4">
        <f t="shared" si="18"/>
        <v>71.78</v>
      </c>
      <c r="F155" s="4">
        <f t="shared" si="19"/>
        <v>702.76887400897522</v>
      </c>
      <c r="G155" s="4">
        <f>'Data - SKU Detail'!G144</f>
        <v>11.5548092506092</v>
      </c>
      <c r="H155" s="4">
        <f>'Data - SKU Detail'!H144</f>
        <v>8.1636715326062799</v>
      </c>
      <c r="I155" s="4">
        <f t="shared" si="20"/>
        <v>50.285069793141552</v>
      </c>
      <c r="J155" s="4">
        <f t="shared" si="21"/>
        <v>35.527266948499943</v>
      </c>
      <c r="K155" s="4">
        <f t="shared" si="22"/>
        <v>401.66950679762914</v>
      </c>
      <c r="L155" s="4">
        <f t="shared" si="23"/>
        <v>386.91170395298752</v>
      </c>
      <c r="M155" s="4">
        <f t="shared" si="24"/>
        <v>28831.837197933819</v>
      </c>
      <c r="N155" s="4">
        <f t="shared" si="25"/>
        <v>27772.522109745445</v>
      </c>
      <c r="O155" s="4">
        <f t="shared" si="26"/>
        <v>1059.3150881883739</v>
      </c>
    </row>
    <row r="156" spans="1:15" x14ac:dyDescent="0.25">
      <c r="A156" s="4">
        <f>'Data - SKU Detail'!A145</f>
        <v>3</v>
      </c>
      <c r="B156" s="4">
        <f>'Data - SKU Detail'!B145</f>
        <v>44</v>
      </c>
      <c r="C156" s="4">
        <f>'Data - SKU Detail'!C145</f>
        <v>908.1</v>
      </c>
      <c r="D156" s="4">
        <f>'Data - SKU Detail'!F145</f>
        <v>13445</v>
      </c>
      <c r="E156" s="4">
        <f t="shared" si="18"/>
        <v>181.62</v>
      </c>
      <c r="F156" s="4">
        <f t="shared" si="19"/>
        <v>333.23007981249248</v>
      </c>
      <c r="G156" s="4">
        <f>'Data - SKU Detail'!G145</f>
        <v>9.5577993756866793</v>
      </c>
      <c r="H156" s="4">
        <f>'Data - SKU Detail'!H145</f>
        <v>6.0973255377558404</v>
      </c>
      <c r="I156" s="4">
        <f t="shared" si="20"/>
        <v>41.594335159614182</v>
      </c>
      <c r="J156" s="4">
        <f t="shared" si="21"/>
        <v>26.53479028235726</v>
      </c>
      <c r="K156" s="4">
        <f t="shared" si="22"/>
        <v>208.20937506586043</v>
      </c>
      <c r="L156" s="4">
        <f t="shared" si="23"/>
        <v>193.14983018860349</v>
      </c>
      <c r="M156" s="4">
        <f t="shared" si="24"/>
        <v>37814.986699461573</v>
      </c>
      <c r="N156" s="4">
        <f t="shared" si="25"/>
        <v>35079.872158854167</v>
      </c>
      <c r="O156" s="4">
        <f t="shared" si="26"/>
        <v>2735.1145406074065</v>
      </c>
    </row>
    <row r="157" spans="1:15" x14ac:dyDescent="0.25">
      <c r="A157" s="4">
        <f>'Data - SKU Detail'!A146</f>
        <v>3</v>
      </c>
      <c r="B157" s="4">
        <f>'Data - SKU Detail'!B146</f>
        <v>45</v>
      </c>
      <c r="C157" s="4">
        <f>'Data - SKU Detail'!C146</f>
        <v>61</v>
      </c>
      <c r="D157" s="4">
        <f>'Data - SKU Detail'!F146</f>
        <v>37556</v>
      </c>
      <c r="E157" s="4">
        <f t="shared" si="18"/>
        <v>12.200000000000001</v>
      </c>
      <c r="F157" s="4">
        <f t="shared" si="19"/>
        <v>2148.8464309034644</v>
      </c>
      <c r="G157" s="4">
        <f>'Data - SKU Detail'!G146</f>
        <v>16.908832720939401</v>
      </c>
      <c r="H157" s="4">
        <f>'Data - SKU Detail'!H146</f>
        <v>11.6182780206779</v>
      </c>
      <c r="I157" s="4">
        <f t="shared" si="20"/>
        <v>73.585103401699627</v>
      </c>
      <c r="J157" s="4">
        <f t="shared" si="21"/>
        <v>50.561277860567778</v>
      </c>
      <c r="K157" s="4">
        <f t="shared" si="22"/>
        <v>1148.0083188534318</v>
      </c>
      <c r="L157" s="4">
        <f t="shared" si="23"/>
        <v>1124.9844933122999</v>
      </c>
      <c r="M157" s="4">
        <f t="shared" si="24"/>
        <v>14005.701490011868</v>
      </c>
      <c r="N157" s="4">
        <f t="shared" si="25"/>
        <v>13724.81081841006</v>
      </c>
      <c r="O157" s="4">
        <f t="shared" si="26"/>
        <v>280.89067160180821</v>
      </c>
    </row>
    <row r="158" spans="1:15" x14ac:dyDescent="0.25">
      <c r="A158" s="4">
        <f>'Data - SKU Detail'!A147</f>
        <v>3</v>
      </c>
      <c r="B158" s="4">
        <f>'Data - SKU Detail'!B147</f>
        <v>46</v>
      </c>
      <c r="C158" s="4">
        <f>'Data - SKU Detail'!C147</f>
        <v>216.31</v>
      </c>
      <c r="D158" s="4">
        <f>'Data - SKU Detail'!F147</f>
        <v>26986</v>
      </c>
      <c r="E158" s="4">
        <f t="shared" si="18"/>
        <v>43.262</v>
      </c>
      <c r="F158" s="4">
        <f t="shared" si="19"/>
        <v>967.30089821716729</v>
      </c>
      <c r="G158" s="4">
        <f>'Data - SKU Detail'!G147</f>
        <v>11.1984658699494</v>
      </c>
      <c r="H158" s="4">
        <f>'Data - SKU Detail'!H147</f>
        <v>8.2110831300978209</v>
      </c>
      <c r="I158" s="4">
        <f t="shared" si="20"/>
        <v>48.734308428053907</v>
      </c>
      <c r="J158" s="4">
        <f t="shared" si="21"/>
        <v>35.733596229854442</v>
      </c>
      <c r="K158" s="4">
        <f t="shared" si="22"/>
        <v>532.38475753663761</v>
      </c>
      <c r="L158" s="4">
        <f t="shared" si="23"/>
        <v>519.38404533843811</v>
      </c>
      <c r="M158" s="4">
        <f t="shared" si="24"/>
        <v>23032.029380550015</v>
      </c>
      <c r="N158" s="4">
        <f t="shared" si="25"/>
        <v>22469.592569431508</v>
      </c>
      <c r="O158" s="4">
        <f t="shared" si="26"/>
        <v>562.43681111850674</v>
      </c>
    </row>
    <row r="159" spans="1:15" x14ac:dyDescent="0.25">
      <c r="A159" s="4">
        <f>'Data - SKU Detail'!A148</f>
        <v>3</v>
      </c>
      <c r="B159" s="4">
        <f>'Data - SKU Detail'!B148</f>
        <v>47</v>
      </c>
      <c r="C159" s="4">
        <f>'Data - SKU Detail'!C148</f>
        <v>1940.83</v>
      </c>
      <c r="D159" s="4">
        <f>'Data - SKU Detail'!F148</f>
        <v>10282</v>
      </c>
      <c r="E159" s="4">
        <f t="shared" si="18"/>
        <v>388.166</v>
      </c>
      <c r="F159" s="4">
        <f t="shared" si="19"/>
        <v>199.33138445699413</v>
      </c>
      <c r="G159" s="4">
        <f>'Data - SKU Detail'!G148</f>
        <v>7.1452074489669002</v>
      </c>
      <c r="H159" s="4">
        <f>'Data - SKU Detail'!H148</f>
        <v>4.8106183009811998</v>
      </c>
      <c r="I159" s="4">
        <f t="shared" si="20"/>
        <v>31.09503994960647</v>
      </c>
      <c r="J159" s="4">
        <f t="shared" si="21"/>
        <v>20.935202976219617</v>
      </c>
      <c r="K159" s="4">
        <f t="shared" si="22"/>
        <v>130.76073217810352</v>
      </c>
      <c r="L159" s="4">
        <f t="shared" si="23"/>
        <v>120.60089520471668</v>
      </c>
      <c r="M159" s="4">
        <f t="shared" si="24"/>
        <v>50756.87036664573</v>
      </c>
      <c r="N159" s="4">
        <f t="shared" si="25"/>
        <v>46813.167088034053</v>
      </c>
      <c r="O159" s="4">
        <f t="shared" si="26"/>
        <v>3943.7032786116761</v>
      </c>
    </row>
    <row r="160" spans="1:15" x14ac:dyDescent="0.25">
      <c r="A160" s="4">
        <f>'Data - SKU Detail'!A149</f>
        <v>3</v>
      </c>
      <c r="B160" s="4">
        <f>'Data - SKU Detail'!B149</f>
        <v>48</v>
      </c>
      <c r="C160" s="4">
        <f>'Data - SKU Detail'!C149</f>
        <v>329.86</v>
      </c>
      <c r="D160" s="4">
        <f>'Data - SKU Detail'!F149</f>
        <v>23695</v>
      </c>
      <c r="E160" s="4">
        <f t="shared" si="18"/>
        <v>65.972000000000008</v>
      </c>
      <c r="F160" s="4">
        <f t="shared" si="19"/>
        <v>733.99679047349548</v>
      </c>
      <c r="G160" s="4">
        <f>'Data - SKU Detail'!G149</f>
        <v>13.956231494050501</v>
      </c>
      <c r="H160" s="4">
        <f>'Data - SKU Detail'!H149</f>
        <v>8.8433082757545201</v>
      </c>
      <c r="I160" s="4">
        <f t="shared" si="20"/>
        <v>60.735755952922325</v>
      </c>
      <c r="J160" s="4">
        <f t="shared" si="21"/>
        <v>38.484960175793233</v>
      </c>
      <c r="K160" s="4">
        <f t="shared" si="22"/>
        <v>427.73415118967006</v>
      </c>
      <c r="L160" s="4">
        <f t="shared" si="23"/>
        <v>405.48335541254096</v>
      </c>
      <c r="M160" s="4">
        <f t="shared" si="24"/>
        <v>28218.477422284916</v>
      </c>
      <c r="N160" s="4">
        <f t="shared" si="25"/>
        <v>26750.547923276157</v>
      </c>
      <c r="O160" s="4">
        <f t="shared" si="26"/>
        <v>1467.9294990087583</v>
      </c>
    </row>
    <row r="161" spans="1:15" x14ac:dyDescent="0.25">
      <c r="A161" s="4">
        <f>'Data - SKU Detail'!A150</f>
        <v>3</v>
      </c>
      <c r="B161" s="4">
        <f>'Data - SKU Detail'!B150</f>
        <v>49</v>
      </c>
      <c r="C161" s="4">
        <f>'Data - SKU Detail'!C150</f>
        <v>988.06</v>
      </c>
      <c r="D161" s="4">
        <f>'Data - SKU Detail'!F150</f>
        <v>13587</v>
      </c>
      <c r="E161" s="4">
        <f t="shared" si="18"/>
        <v>197.61199999999999</v>
      </c>
      <c r="F161" s="4">
        <f t="shared" si="19"/>
        <v>321.14470101929709</v>
      </c>
      <c r="G161" s="4">
        <f>'Data - SKU Detail'!G150</f>
        <v>7.7350722408050601</v>
      </c>
      <c r="H161" s="4">
        <f>'Data - SKU Detail'!H150</f>
        <v>5.48757279204517</v>
      </c>
      <c r="I161" s="4">
        <f t="shared" si="20"/>
        <v>33.662056988380606</v>
      </c>
      <c r="J161" s="4">
        <f t="shared" si="21"/>
        <v>23.881223381371491</v>
      </c>
      <c r="K161" s="4">
        <f t="shared" si="22"/>
        <v>194.23440749802916</v>
      </c>
      <c r="L161" s="4">
        <f t="shared" si="23"/>
        <v>184.45357389102003</v>
      </c>
      <c r="M161" s="4">
        <f t="shared" si="24"/>
        <v>38383.049734500535</v>
      </c>
      <c r="N161" s="4">
        <f t="shared" si="25"/>
        <v>36450.239643752248</v>
      </c>
      <c r="O161" s="4">
        <f t="shared" si="26"/>
        <v>1932.8100907482876</v>
      </c>
    </row>
    <row r="162" spans="1:15" x14ac:dyDescent="0.25">
      <c r="A162" s="4">
        <f>'Data - SKU Detail'!A151</f>
        <v>3</v>
      </c>
      <c r="B162" s="4">
        <f>'Data - SKU Detail'!B151</f>
        <v>50</v>
      </c>
      <c r="C162" s="4">
        <f>'Data - SKU Detail'!C151</f>
        <v>154.34</v>
      </c>
      <c r="D162" s="4">
        <f>'Data - SKU Detail'!F151</f>
        <v>30457</v>
      </c>
      <c r="E162" s="4">
        <f t="shared" si="18"/>
        <v>30.868000000000002</v>
      </c>
      <c r="F162" s="4">
        <f t="shared" si="19"/>
        <v>1216.5639566284947</v>
      </c>
      <c r="G162" s="4">
        <f>'Data - SKU Detail'!G151</f>
        <v>14.4864427452488</v>
      </c>
      <c r="H162" s="4">
        <f>'Data - SKU Detail'!H151</f>
        <v>9.6730895694186092</v>
      </c>
      <c r="I162" s="4">
        <f t="shared" si="20"/>
        <v>63.043168320652207</v>
      </c>
      <c r="J162" s="4">
        <f t="shared" si="21"/>
        <v>42.096063514668529</v>
      </c>
      <c r="K162" s="4">
        <f t="shared" si="22"/>
        <v>671.32514663489951</v>
      </c>
      <c r="L162" s="4">
        <f t="shared" si="23"/>
        <v>650.37804182891591</v>
      </c>
      <c r="M162" s="4">
        <f t="shared" si="24"/>
        <v>20722.46462632608</v>
      </c>
      <c r="N162" s="4">
        <f t="shared" si="25"/>
        <v>20075.869395174977</v>
      </c>
      <c r="O162" s="4">
        <f t="shared" si="26"/>
        <v>646.59523115110278</v>
      </c>
    </row>
    <row r="163" spans="1:15" x14ac:dyDescent="0.25">
      <c r="A163" s="4">
        <f>'Data - SKU Detail'!A152</f>
        <v>4</v>
      </c>
      <c r="B163" s="4">
        <f>'Data - SKU Detail'!B152</f>
        <v>1</v>
      </c>
      <c r="C163" s="4">
        <f>'Data - SKU Detail'!C152</f>
        <v>2297.6799999999998</v>
      </c>
      <c r="D163" s="4">
        <f>'Data - SKU Detail'!F152</f>
        <v>9267</v>
      </c>
      <c r="E163" s="4">
        <f t="shared" si="18"/>
        <v>459.536</v>
      </c>
      <c r="F163" s="4">
        <f t="shared" si="19"/>
        <v>173.92236856095755</v>
      </c>
      <c r="G163" s="4">
        <f>'Data - SKU Detail'!G152</f>
        <v>7.4132343788689097</v>
      </c>
      <c r="H163" s="4">
        <f>'Data - SKU Detail'!H152</f>
        <v>5.1641537945254603</v>
      </c>
      <c r="I163" s="4">
        <f t="shared" si="20"/>
        <v>32.261459280661498</v>
      </c>
      <c r="J163" s="4">
        <f t="shared" si="21"/>
        <v>22.473744771385004</v>
      </c>
      <c r="K163" s="4">
        <f t="shared" si="22"/>
        <v>119.22264356114027</v>
      </c>
      <c r="L163" s="4">
        <f t="shared" si="23"/>
        <v>109.43492905186378</v>
      </c>
      <c r="M163" s="4">
        <f t="shared" si="24"/>
        <v>54787.09673151216</v>
      </c>
      <c r="N163" s="4">
        <f t="shared" si="25"/>
        <v>50289.289556777272</v>
      </c>
      <c r="O163" s="4">
        <f t="shared" si="26"/>
        <v>4497.8071747348877</v>
      </c>
    </row>
    <row r="164" spans="1:15" x14ac:dyDescent="0.25">
      <c r="A164" s="4">
        <f>'Data - SKU Detail'!A153</f>
        <v>4</v>
      </c>
      <c r="B164" s="4">
        <f>'Data - SKU Detail'!B153</f>
        <v>2</v>
      </c>
      <c r="C164" s="4">
        <f>'Data - SKU Detail'!C153</f>
        <v>235.35</v>
      </c>
      <c r="D164" s="4">
        <f>'Data - SKU Detail'!F153</f>
        <v>25090</v>
      </c>
      <c r="E164" s="4">
        <f t="shared" si="18"/>
        <v>47.07</v>
      </c>
      <c r="F164" s="4">
        <f t="shared" si="19"/>
        <v>894.1777541178318</v>
      </c>
      <c r="G164" s="4">
        <f>'Data - SKU Detail'!G153</f>
        <v>12.803655265234999</v>
      </c>
      <c r="H164" s="4">
        <f>'Data - SKU Detail'!H153</f>
        <v>7.9574784811772803</v>
      </c>
      <c r="I164" s="4">
        <f t="shared" si="20"/>
        <v>55.719889844630863</v>
      </c>
      <c r="J164" s="4">
        <f t="shared" si="21"/>
        <v>34.629940843231573</v>
      </c>
      <c r="K164" s="4">
        <f t="shared" si="22"/>
        <v>502.80876690354677</v>
      </c>
      <c r="L164" s="4">
        <f t="shared" si="23"/>
        <v>481.71881790214746</v>
      </c>
      <c r="M164" s="4">
        <f t="shared" si="24"/>
        <v>23667.208658149946</v>
      </c>
      <c r="N164" s="4">
        <f t="shared" si="25"/>
        <v>22674.504758654082</v>
      </c>
      <c r="O164" s="4">
        <f t="shared" si="26"/>
        <v>992.70389949586388</v>
      </c>
    </row>
    <row r="165" spans="1:15" x14ac:dyDescent="0.25">
      <c r="A165" s="4">
        <f>'Data - SKU Detail'!A154</f>
        <v>4</v>
      </c>
      <c r="B165" s="4">
        <f>'Data - SKU Detail'!B154</f>
        <v>3</v>
      </c>
      <c r="C165" s="4">
        <f>'Data - SKU Detail'!C154</f>
        <v>767.06</v>
      </c>
      <c r="D165" s="4">
        <f>'Data - SKU Detail'!F154</f>
        <v>15710</v>
      </c>
      <c r="E165" s="4">
        <f t="shared" si="18"/>
        <v>153.41200000000001</v>
      </c>
      <c r="F165" s="4">
        <f t="shared" si="19"/>
        <v>391.92598289020583</v>
      </c>
      <c r="G165" s="4">
        <f>'Data - SKU Detail'!G154</f>
        <v>9.2163762411089696</v>
      </c>
      <c r="H165" s="4">
        <f>'Data - SKU Detail'!H154</f>
        <v>6.70416348668238</v>
      </c>
      <c r="I165" s="4">
        <f t="shared" si="20"/>
        <v>40.10850482015374</v>
      </c>
      <c r="J165" s="4">
        <f t="shared" si="21"/>
        <v>29.175672356052168</v>
      </c>
      <c r="K165" s="4">
        <f t="shared" si="22"/>
        <v>236.07149626525666</v>
      </c>
      <c r="L165" s="4">
        <f t="shared" si="23"/>
        <v>225.13866380115508</v>
      </c>
      <c r="M165" s="4">
        <f t="shared" si="24"/>
        <v>36216.200385045559</v>
      </c>
      <c r="N165" s="4">
        <f t="shared" si="25"/>
        <v>34538.972691062801</v>
      </c>
      <c r="O165" s="4">
        <f t="shared" si="26"/>
        <v>1677.227693982757</v>
      </c>
    </row>
    <row r="166" spans="1:15" x14ac:dyDescent="0.25">
      <c r="A166" s="4">
        <f>'Data - SKU Detail'!A155</f>
        <v>4</v>
      </c>
      <c r="B166" s="4">
        <f>'Data - SKU Detail'!B155</f>
        <v>4</v>
      </c>
      <c r="C166" s="4">
        <f>'Data - SKU Detail'!C155</f>
        <v>1783.76</v>
      </c>
      <c r="D166" s="4">
        <f>'Data - SKU Detail'!F155</f>
        <v>9279</v>
      </c>
      <c r="E166" s="4">
        <f t="shared" si="18"/>
        <v>356.75200000000001</v>
      </c>
      <c r="F166" s="4">
        <f t="shared" si="19"/>
        <v>197.52087855724727</v>
      </c>
      <c r="G166" s="4">
        <f>'Data - SKU Detail'!G155</f>
        <v>7.2480453565553304</v>
      </c>
      <c r="H166" s="4">
        <f>'Data - SKU Detail'!H155</f>
        <v>5.4147197218351399</v>
      </c>
      <c r="I166" s="4">
        <f t="shared" si="20"/>
        <v>31.542577528834983</v>
      </c>
      <c r="J166" s="4">
        <f t="shared" si="21"/>
        <v>23.564176025530212</v>
      </c>
      <c r="K166" s="4">
        <f t="shared" si="22"/>
        <v>130.30301680745862</v>
      </c>
      <c r="L166" s="4">
        <f t="shared" si="23"/>
        <v>122.32461530415385</v>
      </c>
      <c r="M166" s="4">
        <f t="shared" si="24"/>
        <v>46485.86185209448</v>
      </c>
      <c r="N166" s="4">
        <f t="shared" si="25"/>
        <v>43639.551158987495</v>
      </c>
      <c r="O166" s="4">
        <f t="shared" si="26"/>
        <v>2846.3106931069851</v>
      </c>
    </row>
    <row r="167" spans="1:15" x14ac:dyDescent="0.25">
      <c r="A167" s="4">
        <f>'Data - SKU Detail'!A156</f>
        <v>4</v>
      </c>
      <c r="B167" s="4">
        <f>'Data - SKU Detail'!B156</f>
        <v>5</v>
      </c>
      <c r="C167" s="4">
        <f>'Data - SKU Detail'!C156</f>
        <v>2500</v>
      </c>
      <c r="D167" s="4">
        <f>'Data - SKU Detail'!F156</f>
        <v>7901</v>
      </c>
      <c r="E167" s="4">
        <f t="shared" si="18"/>
        <v>500</v>
      </c>
      <c r="F167" s="4">
        <f t="shared" si="19"/>
        <v>153.95778642212287</v>
      </c>
      <c r="G167" s="4">
        <f>'Data - SKU Detail'!G156</f>
        <v>7.98640148600433</v>
      </c>
      <c r="H167" s="4">
        <f>'Data - SKU Detail'!H156</f>
        <v>5.1623606704132401</v>
      </c>
      <c r="I167" s="4">
        <f t="shared" si="20"/>
        <v>34.755810105528475</v>
      </c>
      <c r="J167" s="4">
        <f t="shared" si="21"/>
        <v>22.465941321827753</v>
      </c>
      <c r="K167" s="4">
        <f t="shared" si="22"/>
        <v>111.7347033165899</v>
      </c>
      <c r="L167" s="4">
        <f t="shared" si="23"/>
        <v>99.444834532889189</v>
      </c>
      <c r="M167" s="4">
        <f t="shared" si="24"/>
        <v>55867.351658294952</v>
      </c>
      <c r="N167" s="4">
        <f t="shared" si="25"/>
        <v>49722.417266444594</v>
      </c>
      <c r="O167" s="4">
        <f t="shared" si="26"/>
        <v>6144.9343918503582</v>
      </c>
    </row>
    <row r="168" spans="1:15" x14ac:dyDescent="0.25">
      <c r="A168" s="4">
        <f>'Data - SKU Detail'!A157</f>
        <v>4</v>
      </c>
      <c r="B168" s="4">
        <f>'Data - SKU Detail'!B157</f>
        <v>6</v>
      </c>
      <c r="C168" s="4">
        <f>'Data - SKU Detail'!C157</f>
        <v>278.63</v>
      </c>
      <c r="D168" s="4">
        <f>'Data - SKU Detail'!F157</f>
        <v>24924</v>
      </c>
      <c r="E168" s="4">
        <f t="shared" si="18"/>
        <v>55.725999999999999</v>
      </c>
      <c r="F168" s="4">
        <f t="shared" si="19"/>
        <v>819.07857398944896</v>
      </c>
      <c r="G168" s="4">
        <f>'Data - SKU Detail'!G157</f>
        <v>12.5019635342668</v>
      </c>
      <c r="H168" s="4">
        <f>'Data - SKU Detail'!H157</f>
        <v>9.1516811473139992</v>
      </c>
      <c r="I168" s="4">
        <f t="shared" si="20"/>
        <v>54.406965553219486</v>
      </c>
      <c r="J168" s="4">
        <f t="shared" si="21"/>
        <v>39.826959946829035</v>
      </c>
      <c r="K168" s="4">
        <f t="shared" si="22"/>
        <v>463.94625254794397</v>
      </c>
      <c r="L168" s="4">
        <f t="shared" si="23"/>
        <v>449.36624694155353</v>
      </c>
      <c r="M168" s="4">
        <f t="shared" si="24"/>
        <v>25853.868869486727</v>
      </c>
      <c r="N168" s="4">
        <f t="shared" si="25"/>
        <v>25041.38347706501</v>
      </c>
      <c r="O168" s="4">
        <f t="shared" si="26"/>
        <v>812.48539242171682</v>
      </c>
    </row>
    <row r="169" spans="1:15" x14ac:dyDescent="0.25">
      <c r="A169" s="4">
        <f>'Data - SKU Detail'!A158</f>
        <v>4</v>
      </c>
      <c r="B169" s="4">
        <f>'Data - SKU Detail'!B158</f>
        <v>7</v>
      </c>
      <c r="C169" s="4">
        <f>'Data - SKU Detail'!C158</f>
        <v>256.08</v>
      </c>
      <c r="D169" s="4">
        <f>'Data - SKU Detail'!F158</f>
        <v>25042</v>
      </c>
      <c r="E169" s="4">
        <f t="shared" si="18"/>
        <v>51.216000000000001</v>
      </c>
      <c r="F169" s="4">
        <f t="shared" si="19"/>
        <v>856.40127803263613</v>
      </c>
      <c r="G169" s="4">
        <f>'Data - SKU Detail'!G158</f>
        <v>12.925602101251799</v>
      </c>
      <c r="H169" s="4">
        <f>'Data - SKU Detail'!H158</f>
        <v>9.17854351342522</v>
      </c>
      <c r="I169" s="4">
        <f t="shared" si="20"/>
        <v>56.250587065775747</v>
      </c>
      <c r="J169" s="4">
        <f t="shared" si="21"/>
        <v>39.943861569816924</v>
      </c>
      <c r="K169" s="4">
        <f t="shared" si="22"/>
        <v>484.4512260820938</v>
      </c>
      <c r="L169" s="4">
        <f t="shared" si="23"/>
        <v>468.144500586135</v>
      </c>
      <c r="M169" s="4">
        <f t="shared" si="24"/>
        <v>24811.653995020515</v>
      </c>
      <c r="N169" s="4">
        <f t="shared" si="25"/>
        <v>23976.48874201949</v>
      </c>
      <c r="O169" s="4">
        <f t="shared" si="26"/>
        <v>835.16525300102512</v>
      </c>
    </row>
    <row r="170" spans="1:15" x14ac:dyDescent="0.25">
      <c r="A170" s="4">
        <f>'Data - SKU Detail'!A159</f>
        <v>4</v>
      </c>
      <c r="B170" s="4">
        <f>'Data - SKU Detail'!B159</f>
        <v>8</v>
      </c>
      <c r="C170" s="4">
        <f>'Data - SKU Detail'!C159</f>
        <v>85.49</v>
      </c>
      <c r="D170" s="4">
        <f>'Data - SKU Detail'!F159</f>
        <v>33263</v>
      </c>
      <c r="E170" s="4">
        <f t="shared" si="18"/>
        <v>17.097999999999999</v>
      </c>
      <c r="F170" s="4">
        <f t="shared" si="19"/>
        <v>1708.2588566845202</v>
      </c>
      <c r="G170" s="4">
        <f>'Data - SKU Detail'!G159</f>
        <v>13.8734769828233</v>
      </c>
      <c r="H170" s="4">
        <f>'Data - SKU Detail'!H159</f>
        <v>10.0121983173941</v>
      </c>
      <c r="I170" s="4">
        <f t="shared" si="20"/>
        <v>60.375618776920241</v>
      </c>
      <c r="J170" s="4">
        <f t="shared" si="21"/>
        <v>43.571821936081967</v>
      </c>
      <c r="K170" s="4">
        <f t="shared" si="22"/>
        <v>914.50504711918029</v>
      </c>
      <c r="L170" s="4">
        <f t="shared" si="23"/>
        <v>897.70125027834206</v>
      </c>
      <c r="M170" s="4">
        <f t="shared" si="24"/>
        <v>15636.207295643744</v>
      </c>
      <c r="N170" s="4">
        <f t="shared" si="25"/>
        <v>15348.895977259092</v>
      </c>
      <c r="O170" s="4">
        <f t="shared" si="26"/>
        <v>287.31131838465262</v>
      </c>
    </row>
    <row r="171" spans="1:15" x14ac:dyDescent="0.25">
      <c r="A171" s="4">
        <f>'Data - SKU Detail'!A160</f>
        <v>4</v>
      </c>
      <c r="B171" s="4">
        <f>'Data - SKU Detail'!B160</f>
        <v>9</v>
      </c>
      <c r="C171" s="4">
        <f>'Data - SKU Detail'!C160</f>
        <v>303.16000000000003</v>
      </c>
      <c r="D171" s="4">
        <f>'Data - SKU Detail'!F160</f>
        <v>21773</v>
      </c>
      <c r="E171" s="4">
        <f t="shared" si="18"/>
        <v>60.632000000000005</v>
      </c>
      <c r="F171" s="4">
        <f t="shared" si="19"/>
        <v>733.92861184401488</v>
      </c>
      <c r="G171" s="4">
        <f>'Data - SKU Detail'!G160</f>
        <v>13.0934748121526</v>
      </c>
      <c r="H171" s="4">
        <f>'Data - SKU Detail'!H160</f>
        <v>9.2924944864522203</v>
      </c>
      <c r="I171" s="4">
        <f t="shared" si="20"/>
        <v>56.981147891223003</v>
      </c>
      <c r="J171" s="4">
        <f t="shared" si="21"/>
        <v>40.439761805587324</v>
      </c>
      <c r="K171" s="4">
        <f t="shared" si="22"/>
        <v>423.94545381323042</v>
      </c>
      <c r="L171" s="4">
        <f t="shared" si="23"/>
        <v>407.40406772759479</v>
      </c>
      <c r="M171" s="4">
        <f t="shared" si="24"/>
        <v>25704.660755603789</v>
      </c>
      <c r="N171" s="4">
        <f t="shared" si="25"/>
        <v>24701.723434459531</v>
      </c>
      <c r="O171" s="4">
        <f t="shared" si="26"/>
        <v>1002.937321144258</v>
      </c>
    </row>
    <row r="172" spans="1:15" x14ac:dyDescent="0.25">
      <c r="A172" s="4">
        <f>'Data - SKU Detail'!A161</f>
        <v>4</v>
      </c>
      <c r="B172" s="4">
        <f>'Data - SKU Detail'!B161</f>
        <v>10</v>
      </c>
      <c r="C172" s="4">
        <f>'Data - SKU Detail'!C161</f>
        <v>93.02</v>
      </c>
      <c r="D172" s="4">
        <f>'Data - SKU Detail'!F161</f>
        <v>31281</v>
      </c>
      <c r="E172" s="4">
        <f t="shared" si="18"/>
        <v>18.603999999999999</v>
      </c>
      <c r="F172" s="4">
        <f t="shared" si="19"/>
        <v>1588.1180369108181</v>
      </c>
      <c r="G172" s="4">
        <f>'Data - SKU Detail'!G161</f>
        <v>14.9229907248485</v>
      </c>
      <c r="H172" s="4">
        <f>'Data - SKU Detail'!H161</f>
        <v>10.0354250034937</v>
      </c>
      <c r="I172" s="4">
        <f t="shared" si="20"/>
        <v>64.942969965674479</v>
      </c>
      <c r="J172" s="4">
        <f t="shared" si="21"/>
        <v>43.672901539063744</v>
      </c>
      <c r="K172" s="4">
        <f t="shared" si="22"/>
        <v>859.00198842108352</v>
      </c>
      <c r="L172" s="4">
        <f t="shared" si="23"/>
        <v>837.73191999447283</v>
      </c>
      <c r="M172" s="4">
        <f t="shared" si="24"/>
        <v>15980.872992585837</v>
      </c>
      <c r="N172" s="4">
        <f t="shared" si="25"/>
        <v>15585.164639577171</v>
      </c>
      <c r="O172" s="4">
        <f t="shared" si="26"/>
        <v>395.70835300866565</v>
      </c>
    </row>
    <row r="173" spans="1:15" x14ac:dyDescent="0.25">
      <c r="A173" s="4">
        <f>'Data - SKU Detail'!A162</f>
        <v>4</v>
      </c>
      <c r="B173" s="4">
        <f>'Data - SKU Detail'!B162</f>
        <v>11</v>
      </c>
      <c r="C173" s="4">
        <f>'Data - SKU Detail'!C162</f>
        <v>101.21</v>
      </c>
      <c r="D173" s="4">
        <f>'Data - SKU Detail'!F162</f>
        <v>29780</v>
      </c>
      <c r="E173" s="4">
        <f t="shared" si="18"/>
        <v>20.242000000000001</v>
      </c>
      <c r="F173" s="4">
        <f t="shared" si="19"/>
        <v>1485.5294501483893</v>
      </c>
      <c r="G173" s="4">
        <f>'Data - SKU Detail'!G162</f>
        <v>15.2080648506846</v>
      </c>
      <c r="H173" s="4">
        <f>'Data - SKU Detail'!H162</f>
        <v>9.3308179924203305</v>
      </c>
      <c r="I173" s="4">
        <f t="shared" si="20"/>
        <v>66.183576539351265</v>
      </c>
      <c r="J173" s="4">
        <f t="shared" si="21"/>
        <v>40.606540861002948</v>
      </c>
      <c r="K173" s="4">
        <f t="shared" si="22"/>
        <v>808.94830161354594</v>
      </c>
      <c r="L173" s="4">
        <f t="shared" si="23"/>
        <v>783.37126593519758</v>
      </c>
      <c r="M173" s="4">
        <f t="shared" si="24"/>
        <v>16374.731521261398</v>
      </c>
      <c r="N173" s="4">
        <f t="shared" si="25"/>
        <v>15857.00116506027</v>
      </c>
      <c r="O173" s="4">
        <f t="shared" si="26"/>
        <v>517.73035620112751</v>
      </c>
    </row>
    <row r="174" spans="1:15" x14ac:dyDescent="0.25">
      <c r="A174" s="4">
        <f>'Data - SKU Detail'!A163</f>
        <v>4</v>
      </c>
      <c r="B174" s="4">
        <f>'Data - SKU Detail'!B163</f>
        <v>12</v>
      </c>
      <c r="C174" s="4">
        <f>'Data - SKU Detail'!C163</f>
        <v>110.12</v>
      </c>
      <c r="D174" s="4">
        <f>'Data - SKU Detail'!F163</f>
        <v>29664</v>
      </c>
      <c r="E174" s="4">
        <f t="shared" si="18"/>
        <v>22.024000000000001</v>
      </c>
      <c r="F174" s="4">
        <f t="shared" si="19"/>
        <v>1421.3871554561074</v>
      </c>
      <c r="G174" s="4">
        <f>'Data - SKU Detail'!G163</f>
        <v>14.250585691352599</v>
      </c>
      <c r="H174" s="4">
        <f>'Data - SKU Detail'!H163</f>
        <v>9.4465045338426403</v>
      </c>
      <c r="I174" s="4">
        <f t="shared" si="20"/>
        <v>62.016748224989449</v>
      </c>
      <c r="J174" s="4">
        <f t="shared" si="21"/>
        <v>41.109994071123339</v>
      </c>
      <c r="K174" s="4">
        <f t="shared" si="22"/>
        <v>772.71032595304314</v>
      </c>
      <c r="L174" s="4">
        <f t="shared" si="23"/>
        <v>751.80357179917701</v>
      </c>
      <c r="M174" s="4">
        <f t="shared" si="24"/>
        <v>17018.172218789823</v>
      </c>
      <c r="N174" s="4">
        <f t="shared" si="25"/>
        <v>16557.721865305077</v>
      </c>
      <c r="O174" s="4">
        <f t="shared" si="26"/>
        <v>460.4503534847463</v>
      </c>
    </row>
    <row r="175" spans="1:15" x14ac:dyDescent="0.25">
      <c r="A175" s="4">
        <f>'Data - SKU Detail'!A164</f>
        <v>4</v>
      </c>
      <c r="B175" s="4">
        <f>'Data - SKU Detail'!B164</f>
        <v>13</v>
      </c>
      <c r="C175" s="4">
        <f>'Data - SKU Detail'!C164</f>
        <v>47.35</v>
      </c>
      <c r="D175" s="4">
        <f>'Data - SKU Detail'!F164</f>
        <v>35816</v>
      </c>
      <c r="E175" s="4">
        <f t="shared" si="18"/>
        <v>9.4700000000000006</v>
      </c>
      <c r="F175" s="4">
        <f t="shared" si="19"/>
        <v>2381.8213328603024</v>
      </c>
      <c r="G175" s="4">
        <f>'Data - SKU Detail'!G164</f>
        <v>15.832451086475499</v>
      </c>
      <c r="H175" s="4">
        <f>'Data - SKU Detail'!H164</f>
        <v>11.0274811489346</v>
      </c>
      <c r="I175" s="4">
        <f t="shared" si="20"/>
        <v>68.900826540078612</v>
      </c>
      <c r="J175" s="4">
        <f t="shared" si="21"/>
        <v>47.990204527824083</v>
      </c>
      <c r="K175" s="4">
        <f t="shared" si="22"/>
        <v>1259.8114929702299</v>
      </c>
      <c r="L175" s="4">
        <f t="shared" si="23"/>
        <v>1238.9008709579753</v>
      </c>
      <c r="M175" s="4">
        <f t="shared" si="24"/>
        <v>11930.414838428078</v>
      </c>
      <c r="N175" s="4">
        <f t="shared" si="25"/>
        <v>11732.391247972026</v>
      </c>
      <c r="O175" s="4">
        <f t="shared" si="26"/>
        <v>198.02359045605226</v>
      </c>
    </row>
    <row r="176" spans="1:15" x14ac:dyDescent="0.25">
      <c r="A176" s="4">
        <f>'Data - SKU Detail'!A165</f>
        <v>4</v>
      </c>
      <c r="B176" s="4">
        <f>'Data - SKU Detail'!B165</f>
        <v>14</v>
      </c>
      <c r="C176" s="4">
        <f>'Data - SKU Detail'!C165</f>
        <v>182.71</v>
      </c>
      <c r="D176" s="4">
        <f>'Data - SKU Detail'!F165</f>
        <v>25126</v>
      </c>
      <c r="E176" s="4">
        <f t="shared" si="18"/>
        <v>36.542000000000002</v>
      </c>
      <c r="F176" s="4">
        <f t="shared" si="19"/>
        <v>1015.5730102829385</v>
      </c>
      <c r="G176" s="4">
        <f>'Data - SKU Detail'!G165</f>
        <v>12.4048360327544</v>
      </c>
      <c r="H176" s="4">
        <f>'Data - SKU Detail'!H165</f>
        <v>8.29308038947614</v>
      </c>
      <c r="I176" s="4">
        <f t="shared" si="20"/>
        <v>53.984278939667043</v>
      </c>
      <c r="J176" s="4">
        <f t="shared" si="21"/>
        <v>36.090437941496518</v>
      </c>
      <c r="K176" s="4">
        <f t="shared" si="22"/>
        <v>561.7707840811363</v>
      </c>
      <c r="L176" s="4">
        <f t="shared" si="23"/>
        <v>543.87694308296579</v>
      </c>
      <c r="M176" s="4">
        <f t="shared" si="24"/>
        <v>20528.227991892883</v>
      </c>
      <c r="N176" s="4">
        <f t="shared" si="25"/>
        <v>19874.351254137739</v>
      </c>
      <c r="O176" s="4">
        <f t="shared" si="26"/>
        <v>653.87673775514486</v>
      </c>
    </row>
    <row r="177" spans="1:15" x14ac:dyDescent="0.25">
      <c r="A177" s="4">
        <f>'Data - SKU Detail'!A166</f>
        <v>4</v>
      </c>
      <c r="B177" s="4">
        <f>'Data - SKU Detail'!B166</f>
        <v>15</v>
      </c>
      <c r="C177" s="4">
        <f>'Data - SKU Detail'!C166</f>
        <v>40</v>
      </c>
      <c r="D177" s="4">
        <f>'Data - SKU Detail'!F166</f>
        <v>37388</v>
      </c>
      <c r="E177" s="4">
        <f t="shared" si="18"/>
        <v>8</v>
      </c>
      <c r="F177" s="4">
        <f t="shared" si="19"/>
        <v>2647.6876704022325</v>
      </c>
      <c r="G177" s="4">
        <f>'Data - SKU Detail'!G166</f>
        <v>16.382944180139202</v>
      </c>
      <c r="H177" s="4">
        <f>'Data - SKU Detail'!H166</f>
        <v>10.494386303296301</v>
      </c>
      <c r="I177" s="4">
        <f t="shared" si="20"/>
        <v>71.29650292340466</v>
      </c>
      <c r="J177" s="4">
        <f t="shared" si="21"/>
        <v>45.670243121462256</v>
      </c>
      <c r="K177" s="4">
        <f t="shared" si="22"/>
        <v>1395.1403381245209</v>
      </c>
      <c r="L177" s="4">
        <f t="shared" si="23"/>
        <v>1369.5140783225786</v>
      </c>
      <c r="M177" s="4">
        <f t="shared" si="24"/>
        <v>11161.122704996167</v>
      </c>
      <c r="N177" s="4">
        <f t="shared" si="25"/>
        <v>10956.112626580629</v>
      </c>
      <c r="O177" s="4">
        <f t="shared" si="26"/>
        <v>205.01007841553837</v>
      </c>
    </row>
    <row r="178" spans="1:15" x14ac:dyDescent="0.25">
      <c r="A178" s="4">
        <f>'Data - SKU Detail'!A167</f>
        <v>4</v>
      </c>
      <c r="B178" s="4">
        <f>'Data - SKU Detail'!B167</f>
        <v>16</v>
      </c>
      <c r="C178" s="4">
        <f>'Data - SKU Detail'!C167</f>
        <v>1506.73</v>
      </c>
      <c r="D178" s="4">
        <f>'Data - SKU Detail'!F167</f>
        <v>11115</v>
      </c>
      <c r="E178" s="4">
        <f t="shared" si="18"/>
        <v>301.346</v>
      </c>
      <c r="F178" s="4">
        <f t="shared" si="19"/>
        <v>235.21642637719918</v>
      </c>
      <c r="G178" s="4">
        <f>'Data - SKU Detail'!G167</f>
        <v>9.1926870122665694</v>
      </c>
      <c r="H178" s="4">
        <f>'Data - SKU Detail'!H167</f>
        <v>5.6747751006336298</v>
      </c>
      <c r="I178" s="4">
        <f t="shared" si="20"/>
        <v>40.005412289602191</v>
      </c>
      <c r="J178" s="4">
        <f t="shared" si="21"/>
        <v>24.695904173467788</v>
      </c>
      <c r="K178" s="4">
        <f t="shared" si="22"/>
        <v>157.61362547820178</v>
      </c>
      <c r="L178" s="4">
        <f t="shared" si="23"/>
        <v>142.30411736206739</v>
      </c>
      <c r="M178" s="4">
        <f t="shared" si="24"/>
        <v>47496.235583354195</v>
      </c>
      <c r="N178" s="4">
        <f t="shared" si="25"/>
        <v>42882.776550589559</v>
      </c>
      <c r="O178" s="4">
        <f t="shared" si="26"/>
        <v>4613.4590327646365</v>
      </c>
    </row>
    <row r="179" spans="1:15" x14ac:dyDescent="0.25">
      <c r="A179" s="4">
        <f>'Data - SKU Detail'!A168</f>
        <v>4</v>
      </c>
      <c r="B179" s="4">
        <f>'Data - SKU Detail'!B168</f>
        <v>17</v>
      </c>
      <c r="C179" s="4">
        <f>'Data - SKU Detail'!C168</f>
        <v>834.61</v>
      </c>
      <c r="D179" s="4">
        <f>'Data - SKU Detail'!F168</f>
        <v>14030</v>
      </c>
      <c r="E179" s="4">
        <f t="shared" si="18"/>
        <v>166.92200000000003</v>
      </c>
      <c r="F179" s="4">
        <f t="shared" si="19"/>
        <v>355.07302103284809</v>
      </c>
      <c r="G179" s="4">
        <f>'Data - SKU Detail'!G168</f>
        <v>8.6741731858818607</v>
      </c>
      <c r="H179" s="4">
        <f>'Data - SKU Detail'!H168</f>
        <v>5.9943529942899003</v>
      </c>
      <c r="I179" s="4">
        <f t="shared" si="20"/>
        <v>37.748905636574641</v>
      </c>
      <c r="J179" s="4">
        <f t="shared" si="21"/>
        <v>26.086666784802414</v>
      </c>
      <c r="K179" s="4">
        <f t="shared" si="22"/>
        <v>215.28541615299869</v>
      </c>
      <c r="L179" s="4">
        <f t="shared" si="23"/>
        <v>203.62317730122646</v>
      </c>
      <c r="M179" s="4">
        <f t="shared" si="24"/>
        <v>35935.87223509085</v>
      </c>
      <c r="N179" s="4">
        <f t="shared" si="25"/>
        <v>33989.188001475326</v>
      </c>
      <c r="O179" s="4">
        <f t="shared" si="26"/>
        <v>1946.6842336155241</v>
      </c>
    </row>
    <row r="180" spans="1:15" x14ac:dyDescent="0.25">
      <c r="A180" s="4">
        <f>'Data - SKU Detail'!A169</f>
        <v>4</v>
      </c>
      <c r="B180" s="4">
        <f>'Data - SKU Detail'!B169</f>
        <v>18</v>
      </c>
      <c r="C180" s="4">
        <f>'Data - SKU Detail'!C169</f>
        <v>51.52</v>
      </c>
      <c r="D180" s="4">
        <f>'Data - SKU Detail'!F169</f>
        <v>36333</v>
      </c>
      <c r="E180" s="4">
        <f t="shared" si="18"/>
        <v>10.304000000000002</v>
      </c>
      <c r="F180" s="4">
        <f t="shared" si="19"/>
        <v>2299.8172861532803</v>
      </c>
      <c r="G180" s="4">
        <f>'Data - SKU Detail'!G169</f>
        <v>16.713012087982001</v>
      </c>
      <c r="H180" s="4">
        <f>'Data - SKU Detail'!H169</f>
        <v>10.975394118301899</v>
      </c>
      <c r="I180" s="4">
        <f t="shared" si="20"/>
        <v>72.732916750961024</v>
      </c>
      <c r="J180" s="4">
        <f t="shared" si="21"/>
        <v>47.763528352226913</v>
      </c>
      <c r="K180" s="4">
        <f t="shared" si="22"/>
        <v>1222.6415598276012</v>
      </c>
      <c r="L180" s="4">
        <f t="shared" si="23"/>
        <v>1197.6721714288672</v>
      </c>
      <c r="M180" s="4">
        <f t="shared" si="24"/>
        <v>12598.098632463605</v>
      </c>
      <c r="N180" s="4">
        <f t="shared" si="25"/>
        <v>12340.81405440305</v>
      </c>
      <c r="O180" s="4">
        <f t="shared" si="26"/>
        <v>257.28457806055485</v>
      </c>
    </row>
    <row r="181" spans="1:15" x14ac:dyDescent="0.25">
      <c r="A181" s="4">
        <f>'Data - SKU Detail'!A170</f>
        <v>4</v>
      </c>
      <c r="B181" s="4">
        <f>'Data - SKU Detail'!B170</f>
        <v>19</v>
      </c>
      <c r="C181" s="4">
        <f>'Data - SKU Detail'!C170</f>
        <v>547.29999999999995</v>
      </c>
      <c r="D181" s="4">
        <f>'Data - SKU Detail'!F170</f>
        <v>17288</v>
      </c>
      <c r="E181" s="4">
        <f t="shared" si="18"/>
        <v>109.46</v>
      </c>
      <c r="F181" s="4">
        <f t="shared" si="19"/>
        <v>486.73243133297586</v>
      </c>
      <c r="G181" s="4">
        <f>'Data - SKU Detail'!G170</f>
        <v>10.1197795375294</v>
      </c>
      <c r="H181" s="4">
        <f>'Data - SKU Detail'!H170</f>
        <v>6.7814766822535804</v>
      </c>
      <c r="I181" s="4">
        <f t="shared" si="20"/>
        <v>44.040001812149555</v>
      </c>
      <c r="J181" s="4">
        <f t="shared" si="21"/>
        <v>29.512129613883893</v>
      </c>
      <c r="K181" s="4">
        <f t="shared" si="22"/>
        <v>287.40621747863747</v>
      </c>
      <c r="L181" s="4">
        <f t="shared" si="23"/>
        <v>272.87834528037183</v>
      </c>
      <c r="M181" s="4">
        <f t="shared" si="24"/>
        <v>31459.484565211656</v>
      </c>
      <c r="N181" s="4">
        <f t="shared" si="25"/>
        <v>29869.263674389498</v>
      </c>
      <c r="O181" s="4">
        <f t="shared" si="26"/>
        <v>1590.2208908221583</v>
      </c>
    </row>
    <row r="182" spans="1:15" x14ac:dyDescent="0.25">
      <c r="A182" s="4">
        <f>'Data - SKU Detail'!A171</f>
        <v>4</v>
      </c>
      <c r="B182" s="4">
        <f>'Data - SKU Detail'!B171</f>
        <v>20</v>
      </c>
      <c r="C182" s="4">
        <f>'Data - SKU Detail'!C171</f>
        <v>424.89</v>
      </c>
      <c r="D182" s="4">
        <f>'Data - SKU Detail'!F171</f>
        <v>20316</v>
      </c>
      <c r="E182" s="4">
        <f t="shared" si="18"/>
        <v>84.978000000000009</v>
      </c>
      <c r="F182" s="4">
        <f t="shared" si="19"/>
        <v>598.84093370841822</v>
      </c>
      <c r="G182" s="4">
        <f>'Data - SKU Detail'!G171</f>
        <v>11.808129229906701</v>
      </c>
      <c r="H182" s="4">
        <f>'Data - SKU Detail'!H171</f>
        <v>7.0601685349064001</v>
      </c>
      <c r="I182" s="4">
        <f t="shared" si="20"/>
        <v>51.387486333535797</v>
      </c>
      <c r="J182" s="4">
        <f t="shared" si="21"/>
        <v>30.724961341130978</v>
      </c>
      <c r="K182" s="4">
        <f t="shared" si="22"/>
        <v>350.80795318774489</v>
      </c>
      <c r="L182" s="4">
        <f t="shared" si="23"/>
        <v>330.14542819534006</v>
      </c>
      <c r="M182" s="4">
        <f t="shared" si="24"/>
        <v>29810.958245988189</v>
      </c>
      <c r="N182" s="4">
        <f t="shared" si="25"/>
        <v>28055.098197183612</v>
      </c>
      <c r="O182" s="4">
        <f t="shared" si="26"/>
        <v>1755.8600488045777</v>
      </c>
    </row>
    <row r="183" spans="1:15" x14ac:dyDescent="0.25">
      <c r="A183" s="4">
        <f>'Data - SKU Detail'!A172</f>
        <v>4</v>
      </c>
      <c r="B183" s="4">
        <f>'Data - SKU Detail'!B172</f>
        <v>21</v>
      </c>
      <c r="C183" s="4">
        <f>'Data - SKU Detail'!C172</f>
        <v>647.92999999999995</v>
      </c>
      <c r="D183" s="4">
        <f>'Data - SKU Detail'!F172</f>
        <v>17186</v>
      </c>
      <c r="E183" s="4">
        <f t="shared" si="18"/>
        <v>129.58599999999998</v>
      </c>
      <c r="F183" s="4">
        <f t="shared" si="19"/>
        <v>446.01964841233973</v>
      </c>
      <c r="G183" s="4">
        <f>'Data - SKU Detail'!G172</f>
        <v>11.579736655181099</v>
      </c>
      <c r="H183" s="4">
        <f>'Data - SKU Detail'!H172</f>
        <v>7.6886563939063102</v>
      </c>
      <c r="I183" s="4">
        <f t="shared" si="20"/>
        <v>50.393550708012022</v>
      </c>
      <c r="J183" s="4">
        <f t="shared" si="21"/>
        <v>33.460061087782904</v>
      </c>
      <c r="K183" s="4">
        <f t="shared" si="22"/>
        <v>273.40337491418188</v>
      </c>
      <c r="L183" s="4">
        <f t="shared" si="23"/>
        <v>256.46988529395276</v>
      </c>
      <c r="M183" s="4">
        <f t="shared" si="24"/>
        <v>35429.249741629166</v>
      </c>
      <c r="N183" s="4">
        <f t="shared" si="25"/>
        <v>33234.90655570216</v>
      </c>
      <c r="O183" s="4">
        <f t="shared" si="26"/>
        <v>2194.3431859270058</v>
      </c>
    </row>
    <row r="184" spans="1:15" x14ac:dyDescent="0.25">
      <c r="A184" s="4">
        <f>'Data - SKU Detail'!A173</f>
        <v>4</v>
      </c>
      <c r="B184" s="4">
        <f>'Data - SKU Detail'!B173</f>
        <v>22</v>
      </c>
      <c r="C184" s="4">
        <f>'Data - SKU Detail'!C173</f>
        <v>72.209999999999994</v>
      </c>
      <c r="D184" s="4">
        <f>'Data - SKU Detail'!F173</f>
        <v>34358</v>
      </c>
      <c r="E184" s="4">
        <f t="shared" si="18"/>
        <v>14.442</v>
      </c>
      <c r="F184" s="4">
        <f t="shared" si="19"/>
        <v>1889.0606296035705</v>
      </c>
      <c r="G184" s="4">
        <f>'Data - SKU Detail'!G173</f>
        <v>14.447443344996399</v>
      </c>
      <c r="H184" s="4">
        <f>'Data - SKU Detail'!H173</f>
        <v>9.8624148939334297</v>
      </c>
      <c r="I184" s="4">
        <f t="shared" si="20"/>
        <v>62.873447858717348</v>
      </c>
      <c r="J184" s="4">
        <f t="shared" si="21"/>
        <v>42.91998340381209</v>
      </c>
      <c r="K184" s="4">
        <f t="shared" si="22"/>
        <v>1007.4037626605026</v>
      </c>
      <c r="L184" s="4">
        <f t="shared" si="23"/>
        <v>987.45029820559739</v>
      </c>
      <c r="M184" s="4">
        <f t="shared" si="24"/>
        <v>14548.925140342979</v>
      </c>
      <c r="N184" s="4">
        <f t="shared" si="25"/>
        <v>14260.757206685237</v>
      </c>
      <c r="O184" s="4">
        <f t="shared" si="26"/>
        <v>288.16793365774174</v>
      </c>
    </row>
    <row r="185" spans="1:15" x14ac:dyDescent="0.25">
      <c r="A185" s="4">
        <f>'Data - SKU Detail'!A174</f>
        <v>4</v>
      </c>
      <c r="B185" s="4">
        <f>'Data - SKU Detail'!B174</f>
        <v>23</v>
      </c>
      <c r="C185" s="4">
        <f>'Data - SKU Detail'!C174</f>
        <v>1075.06</v>
      </c>
      <c r="D185" s="4">
        <f>'Data - SKU Detail'!F174</f>
        <v>12630</v>
      </c>
      <c r="E185" s="4">
        <f t="shared" si="18"/>
        <v>215.012</v>
      </c>
      <c r="F185" s="4">
        <f t="shared" si="19"/>
        <v>296.83557944820251</v>
      </c>
      <c r="G185" s="4">
        <f>'Data - SKU Detail'!G174</f>
        <v>8.8175960442742003</v>
      </c>
      <c r="H185" s="4">
        <f>'Data - SKU Detail'!H174</f>
        <v>6.6984288948642501</v>
      </c>
      <c r="I185" s="4">
        <f t="shared" si="20"/>
        <v>38.373063793388035</v>
      </c>
      <c r="J185" s="4">
        <f t="shared" si="21"/>
        <v>29.150716137082597</v>
      </c>
      <c r="K185" s="4">
        <f t="shared" si="22"/>
        <v>186.7908535174893</v>
      </c>
      <c r="L185" s="4">
        <f t="shared" si="23"/>
        <v>177.56850586118384</v>
      </c>
      <c r="M185" s="4">
        <f t="shared" si="24"/>
        <v>40162.274996502412</v>
      </c>
      <c r="N185" s="4">
        <f t="shared" si="25"/>
        <v>38179.359582224861</v>
      </c>
      <c r="O185" s="4">
        <f t="shared" si="26"/>
        <v>1982.9154142775515</v>
      </c>
    </row>
    <row r="186" spans="1:15" x14ac:dyDescent="0.25">
      <c r="A186" s="4">
        <f>'Data - SKU Detail'!A175</f>
        <v>4</v>
      </c>
      <c r="B186" s="4">
        <f>'Data - SKU Detail'!B175</f>
        <v>24</v>
      </c>
      <c r="C186" s="4">
        <f>'Data - SKU Detail'!C175</f>
        <v>141.85</v>
      </c>
      <c r="D186" s="4">
        <f>'Data - SKU Detail'!F175</f>
        <v>28305</v>
      </c>
      <c r="E186" s="4">
        <f t="shared" si="18"/>
        <v>28.37</v>
      </c>
      <c r="F186" s="4">
        <f t="shared" si="19"/>
        <v>1223.3410281115318</v>
      </c>
      <c r="G186" s="4">
        <f>'Data - SKU Detail'!G175</f>
        <v>13.373833120194201</v>
      </c>
      <c r="H186" s="4">
        <f>'Data - SKU Detail'!H175</f>
        <v>8.3230565396480394</v>
      </c>
      <c r="I186" s="4">
        <f t="shared" si="20"/>
        <v>58.201231821748792</v>
      </c>
      <c r="J186" s="4">
        <f t="shared" si="21"/>
        <v>36.220890359258775</v>
      </c>
      <c r="K186" s="4">
        <f t="shared" si="22"/>
        <v>669.87174587751474</v>
      </c>
      <c r="L186" s="4">
        <f t="shared" si="23"/>
        <v>647.89140441502468</v>
      </c>
      <c r="M186" s="4">
        <f t="shared" si="24"/>
        <v>19004.261430545095</v>
      </c>
      <c r="N186" s="4">
        <f t="shared" si="25"/>
        <v>18380.679143254252</v>
      </c>
      <c r="O186" s="4">
        <f t="shared" si="26"/>
        <v>623.58228729084294</v>
      </c>
    </row>
    <row r="187" spans="1:15" x14ac:dyDescent="0.25">
      <c r="A187" s="4">
        <f>'Data - SKU Detail'!A176</f>
        <v>4</v>
      </c>
      <c r="B187" s="4">
        <f>'Data - SKU Detail'!B176</f>
        <v>25</v>
      </c>
      <c r="C187" s="4">
        <f>'Data - SKU Detail'!C176</f>
        <v>56.06</v>
      </c>
      <c r="D187" s="4">
        <f>'Data - SKU Detail'!F176</f>
        <v>34404</v>
      </c>
      <c r="E187" s="4">
        <f t="shared" si="18"/>
        <v>11.212000000000002</v>
      </c>
      <c r="F187" s="4">
        <f t="shared" si="19"/>
        <v>2145.4013742712427</v>
      </c>
      <c r="G187" s="4">
        <f>'Data - SKU Detail'!G176</f>
        <v>17.7407237054178</v>
      </c>
      <c r="H187" s="4">
        <f>'Data - SKU Detail'!H176</f>
        <v>11.7522670641054</v>
      </c>
      <c r="I187" s="4">
        <f t="shared" si="20"/>
        <v>77.205387848418297</v>
      </c>
      <c r="J187" s="4">
        <f t="shared" si="21"/>
        <v>51.1443812467109</v>
      </c>
      <c r="K187" s="4">
        <f t="shared" si="22"/>
        <v>1149.9060749840396</v>
      </c>
      <c r="L187" s="4">
        <f t="shared" si="23"/>
        <v>1123.8450683823323</v>
      </c>
      <c r="M187" s="4">
        <f t="shared" si="24"/>
        <v>12892.746912721053</v>
      </c>
      <c r="N187" s="4">
        <f t="shared" si="25"/>
        <v>12600.550906702712</v>
      </c>
      <c r="O187" s="4">
        <f t="shared" si="26"/>
        <v>292.196006018341</v>
      </c>
    </row>
    <row r="188" spans="1:15" x14ac:dyDescent="0.25">
      <c r="A188" s="4">
        <f>'Data - SKU Detail'!A177</f>
        <v>4</v>
      </c>
      <c r="B188" s="4">
        <f>'Data - SKU Detail'!B177</f>
        <v>26</v>
      </c>
      <c r="C188" s="4">
        <f>'Data - SKU Detail'!C177</f>
        <v>390.5</v>
      </c>
      <c r="D188" s="4">
        <f>'Data - SKU Detail'!F177</f>
        <v>20504</v>
      </c>
      <c r="E188" s="4">
        <f t="shared" si="18"/>
        <v>78.100000000000009</v>
      </c>
      <c r="F188" s="4">
        <f t="shared" si="19"/>
        <v>627.53710400374609</v>
      </c>
      <c r="G188" s="4">
        <f>'Data - SKU Detail'!G177</f>
        <v>10.8964416885317</v>
      </c>
      <c r="H188" s="4">
        <f>'Data - SKU Detail'!H177</f>
        <v>7.3306314822190899</v>
      </c>
      <c r="I188" s="4">
        <f t="shared" si="20"/>
        <v>47.419937354294753</v>
      </c>
      <c r="J188" s="4">
        <f t="shared" si="21"/>
        <v>31.901981912142165</v>
      </c>
      <c r="K188" s="4">
        <f t="shared" si="22"/>
        <v>361.18848935616779</v>
      </c>
      <c r="L188" s="4">
        <f t="shared" si="23"/>
        <v>345.67053391401521</v>
      </c>
      <c r="M188" s="4">
        <f t="shared" si="24"/>
        <v>28208.821018716706</v>
      </c>
      <c r="N188" s="4">
        <f t="shared" si="25"/>
        <v>26996.86869868459</v>
      </c>
      <c r="O188" s="4">
        <f t="shared" si="26"/>
        <v>1211.9523200321164</v>
      </c>
    </row>
    <row r="189" spans="1:15" x14ac:dyDescent="0.25">
      <c r="A189" s="4">
        <f>'Data - SKU Detail'!A178</f>
        <v>4</v>
      </c>
      <c r="B189" s="4">
        <f>'Data - SKU Detail'!B178</f>
        <v>27</v>
      </c>
      <c r="C189" s="4">
        <f>'Data - SKU Detail'!C178</f>
        <v>1639.41</v>
      </c>
      <c r="D189" s="4">
        <f>'Data - SKU Detail'!F178</f>
        <v>9455</v>
      </c>
      <c r="E189" s="4">
        <f t="shared" si="18"/>
        <v>327.88200000000006</v>
      </c>
      <c r="F189" s="4">
        <f t="shared" si="19"/>
        <v>207.97810095991306</v>
      </c>
      <c r="G189" s="4">
        <f>'Data - SKU Detail'!G178</f>
        <v>7.9555621988433698</v>
      </c>
      <c r="H189" s="4">
        <f>'Data - SKU Detail'!H178</f>
        <v>5.4821198738208103</v>
      </c>
      <c r="I189" s="4">
        <f t="shared" si="20"/>
        <v>34.621601424655807</v>
      </c>
      <c r="J189" s="4">
        <f t="shared" si="21"/>
        <v>23.857492970289737</v>
      </c>
      <c r="K189" s="4">
        <f t="shared" si="22"/>
        <v>138.61065190461233</v>
      </c>
      <c r="L189" s="4">
        <f t="shared" si="23"/>
        <v>127.84654345024627</v>
      </c>
      <c r="M189" s="4">
        <f t="shared" si="24"/>
        <v>45447.937767788106</v>
      </c>
      <c r="N189" s="4">
        <f t="shared" si="25"/>
        <v>41918.580359553656</v>
      </c>
      <c r="O189" s="4">
        <f t="shared" si="26"/>
        <v>3529.3574082344494</v>
      </c>
    </row>
    <row r="190" spans="1:15" x14ac:dyDescent="0.25">
      <c r="A190" s="4">
        <f>'Data - SKU Detail'!A179</f>
        <v>4</v>
      </c>
      <c r="B190" s="4">
        <f>'Data - SKU Detail'!B179</f>
        <v>28</v>
      </c>
      <c r="C190" s="4">
        <f>'Data - SKU Detail'!C179</f>
        <v>43.52</v>
      </c>
      <c r="D190" s="4">
        <f>'Data - SKU Detail'!F179</f>
        <v>37584</v>
      </c>
      <c r="E190" s="4">
        <f t="shared" si="18"/>
        <v>8.7040000000000006</v>
      </c>
      <c r="F190" s="4">
        <f t="shared" si="19"/>
        <v>2544.9994221656571</v>
      </c>
      <c r="G190" s="4">
        <f>'Data - SKU Detail'!G179</f>
        <v>17.039466147547198</v>
      </c>
      <c r="H190" s="4">
        <f>'Data - SKU Detail'!H179</f>
        <v>11.7373864861513</v>
      </c>
      <c r="I190" s="4">
        <f t="shared" si="20"/>
        <v>74.153603567459101</v>
      </c>
      <c r="J190" s="4">
        <f t="shared" si="21"/>
        <v>51.079622851764249</v>
      </c>
      <c r="K190" s="4">
        <f t="shared" si="22"/>
        <v>1346.6533146502877</v>
      </c>
      <c r="L190" s="4">
        <f t="shared" si="23"/>
        <v>1323.5793339345928</v>
      </c>
      <c r="M190" s="4">
        <f t="shared" si="24"/>
        <v>11721.270450716105</v>
      </c>
      <c r="N190" s="4">
        <f t="shared" si="25"/>
        <v>11520.434522566697</v>
      </c>
      <c r="O190" s="4">
        <f t="shared" si="26"/>
        <v>200.83592814940857</v>
      </c>
    </row>
    <row r="191" spans="1:15" x14ac:dyDescent="0.25">
      <c r="A191" s="4">
        <f>'Data - SKU Detail'!A180</f>
        <v>4</v>
      </c>
      <c r="B191" s="4">
        <f>'Data - SKU Detail'!B180</f>
        <v>29</v>
      </c>
      <c r="C191" s="4">
        <f>'Data - SKU Detail'!C180</f>
        <v>119.82</v>
      </c>
      <c r="D191" s="4">
        <f>'Data - SKU Detail'!F180</f>
        <v>29863</v>
      </c>
      <c r="E191" s="4">
        <f t="shared" si="18"/>
        <v>23.963999999999999</v>
      </c>
      <c r="F191" s="4">
        <f t="shared" si="19"/>
        <v>1367.2020194700799</v>
      </c>
      <c r="G191" s="4">
        <f>'Data - SKU Detail'!G180</f>
        <v>13.7397618574931</v>
      </c>
      <c r="H191" s="4">
        <f>'Data - SKU Detail'!H180</f>
        <v>9.0564995844086091</v>
      </c>
      <c r="I191" s="4">
        <f t="shared" si="20"/>
        <v>59.793707447724287</v>
      </c>
      <c r="J191" s="4">
        <f t="shared" si="21"/>
        <v>39.412741812205525</v>
      </c>
      <c r="K191" s="4">
        <f t="shared" si="22"/>
        <v>743.39471718276423</v>
      </c>
      <c r="L191" s="4">
        <f t="shared" si="23"/>
        <v>723.01375154724542</v>
      </c>
      <c r="M191" s="4">
        <f t="shared" si="24"/>
        <v>17814.711002567761</v>
      </c>
      <c r="N191" s="4">
        <f t="shared" si="25"/>
        <v>17326.301542078189</v>
      </c>
      <c r="O191" s="4">
        <f t="shared" si="26"/>
        <v>488.40946048957267</v>
      </c>
    </row>
    <row r="192" spans="1:15" x14ac:dyDescent="0.25">
      <c r="A192" s="4">
        <f>'Data - SKU Detail'!A181</f>
        <v>4</v>
      </c>
      <c r="B192" s="4">
        <f>'Data - SKU Detail'!B181</f>
        <v>30</v>
      </c>
      <c r="C192" s="4">
        <f>'Data - SKU Detail'!C181</f>
        <v>595.5</v>
      </c>
      <c r="D192" s="4">
        <f>'Data - SKU Detail'!F181</f>
        <v>17366</v>
      </c>
      <c r="E192" s="4">
        <f t="shared" si="18"/>
        <v>119.10000000000001</v>
      </c>
      <c r="F192" s="4">
        <f t="shared" si="19"/>
        <v>467.67014576439954</v>
      </c>
      <c r="G192" s="4">
        <f>'Data - SKU Detail'!G181</f>
        <v>9.9887897030842296</v>
      </c>
      <c r="H192" s="4">
        <f>'Data - SKU Detail'!H181</f>
        <v>7.0301122519638497</v>
      </c>
      <c r="I192" s="4">
        <f t="shared" si="20"/>
        <v>43.469950604517535</v>
      </c>
      <c r="J192" s="4">
        <f t="shared" si="21"/>
        <v>30.594160195676427</v>
      </c>
      <c r="K192" s="4">
        <f t="shared" si="22"/>
        <v>277.30502348671729</v>
      </c>
      <c r="L192" s="4">
        <f t="shared" si="23"/>
        <v>264.42923307787618</v>
      </c>
      <c r="M192" s="4">
        <f t="shared" si="24"/>
        <v>33027.028297268029</v>
      </c>
      <c r="N192" s="4">
        <f t="shared" si="25"/>
        <v>31493.521659575053</v>
      </c>
      <c r="O192" s="4">
        <f t="shared" si="26"/>
        <v>1533.5066376929753</v>
      </c>
    </row>
    <row r="193" spans="1:15" x14ac:dyDescent="0.25">
      <c r="A193" s="4">
        <f>'Data - SKU Detail'!A182</f>
        <v>4</v>
      </c>
      <c r="B193" s="4">
        <f>'Data - SKU Detail'!B182</f>
        <v>31</v>
      </c>
      <c r="C193" s="4">
        <f>'Data - SKU Detail'!C182</f>
        <v>198.8</v>
      </c>
      <c r="D193" s="4">
        <f>'Data - SKU Detail'!F182</f>
        <v>24907</v>
      </c>
      <c r="E193" s="4">
        <f t="shared" si="18"/>
        <v>39.760000000000005</v>
      </c>
      <c r="F193" s="4">
        <f t="shared" si="19"/>
        <v>969.35566352834951</v>
      </c>
      <c r="G193" s="4">
        <f>'Data - SKU Detail'!G182</f>
        <v>12.3913867022686</v>
      </c>
      <c r="H193" s="4">
        <f>'Data - SKU Detail'!H182</f>
        <v>8.7399748914483393</v>
      </c>
      <c r="I193" s="4">
        <f t="shared" si="20"/>
        <v>53.925749152850024</v>
      </c>
      <c r="J193" s="4">
        <f t="shared" si="21"/>
        <v>38.035266344497501</v>
      </c>
      <c r="K193" s="4">
        <f t="shared" si="22"/>
        <v>538.60358091702483</v>
      </c>
      <c r="L193" s="4">
        <f t="shared" si="23"/>
        <v>522.71309810867228</v>
      </c>
      <c r="M193" s="4">
        <f t="shared" si="24"/>
        <v>21414.878377260909</v>
      </c>
      <c r="N193" s="4">
        <f t="shared" si="25"/>
        <v>20783.072780800812</v>
      </c>
      <c r="O193" s="4">
        <f t="shared" si="26"/>
        <v>631.80559646009715</v>
      </c>
    </row>
    <row r="194" spans="1:15" x14ac:dyDescent="0.25">
      <c r="A194" s="4">
        <f>'Data - SKU Detail'!A183</f>
        <v>4</v>
      </c>
      <c r="B194" s="4">
        <f>'Data - SKU Detail'!B183</f>
        <v>32</v>
      </c>
      <c r="C194" s="4">
        <f>'Data - SKU Detail'!C183</f>
        <v>462.3</v>
      </c>
      <c r="D194" s="4">
        <f>'Data - SKU Detail'!F183</f>
        <v>18712</v>
      </c>
      <c r="E194" s="4">
        <f t="shared" si="18"/>
        <v>92.460000000000008</v>
      </c>
      <c r="F194" s="4">
        <f t="shared" si="19"/>
        <v>550.97106182349046</v>
      </c>
      <c r="G194" s="4">
        <f>'Data - SKU Detail'!G183</f>
        <v>10.411154617439299</v>
      </c>
      <c r="H194" s="4">
        <f>'Data - SKU Detail'!H183</f>
        <v>6.9208233643645398</v>
      </c>
      <c r="I194" s="4">
        <f t="shared" si="20"/>
        <v>45.30802934176706</v>
      </c>
      <c r="J194" s="4">
        <f t="shared" si="21"/>
        <v>30.118548766586294</v>
      </c>
      <c r="K194" s="4">
        <f t="shared" si="22"/>
        <v>320.79356025351228</v>
      </c>
      <c r="L194" s="4">
        <f t="shared" si="23"/>
        <v>305.60407967833152</v>
      </c>
      <c r="M194" s="4">
        <f t="shared" si="24"/>
        <v>29660.572581039749</v>
      </c>
      <c r="N194" s="4">
        <f t="shared" si="25"/>
        <v>28256.153207058534</v>
      </c>
      <c r="O194" s="4">
        <f t="shared" si="26"/>
        <v>1404.4193739812144</v>
      </c>
    </row>
    <row r="195" spans="1:15" x14ac:dyDescent="0.25">
      <c r="A195" s="4">
        <f>'Data - SKU Detail'!A184</f>
        <v>4</v>
      </c>
      <c r="B195" s="4">
        <f>'Data - SKU Detail'!B184</f>
        <v>33</v>
      </c>
      <c r="C195" s="4">
        <f>'Data - SKU Detail'!C184</f>
        <v>130.37</v>
      </c>
      <c r="D195" s="4">
        <f>'Data - SKU Detail'!F184</f>
        <v>29714</v>
      </c>
      <c r="E195" s="4">
        <f t="shared" si="18"/>
        <v>26.074000000000002</v>
      </c>
      <c r="F195" s="4">
        <f t="shared" si="19"/>
        <v>1307.4417784317004</v>
      </c>
      <c r="G195" s="4">
        <f>'Data - SKU Detail'!G184</f>
        <v>12.2221826482055</v>
      </c>
      <c r="H195" s="4">
        <f>'Data - SKU Detail'!H184</f>
        <v>8.4624974821795007</v>
      </c>
      <c r="I195" s="4">
        <f t="shared" si="20"/>
        <v>53.189394490188938</v>
      </c>
      <c r="J195" s="4">
        <f t="shared" si="21"/>
        <v>36.827719721400456</v>
      </c>
      <c r="K195" s="4">
        <f t="shared" si="22"/>
        <v>706.91028370603919</v>
      </c>
      <c r="L195" s="4">
        <f t="shared" si="23"/>
        <v>690.54860893725072</v>
      </c>
      <c r="M195" s="4">
        <f t="shared" si="24"/>
        <v>18431.978737351266</v>
      </c>
      <c r="N195" s="4">
        <f t="shared" si="25"/>
        <v>18005.364429429876</v>
      </c>
      <c r="O195" s="4">
        <f t="shared" si="26"/>
        <v>426.61430792139072</v>
      </c>
    </row>
    <row r="196" spans="1:15" x14ac:dyDescent="0.25">
      <c r="A196" s="4">
        <f>'Data - SKU Detail'!A185</f>
        <v>4</v>
      </c>
      <c r="B196" s="4">
        <f>'Data - SKU Detail'!B185</f>
        <v>34</v>
      </c>
      <c r="C196" s="4">
        <f>'Data - SKU Detail'!C185</f>
        <v>1384.8</v>
      </c>
      <c r="D196" s="4">
        <f>'Data - SKU Detail'!F185</f>
        <v>10949</v>
      </c>
      <c r="E196" s="4">
        <f t="shared" si="18"/>
        <v>276.95999999999998</v>
      </c>
      <c r="F196" s="4">
        <f t="shared" si="19"/>
        <v>243.51422294484118</v>
      </c>
      <c r="G196" s="4">
        <f>'Data - SKU Detail'!G185</f>
        <v>8.8216048368082607</v>
      </c>
      <c r="H196" s="4">
        <f>'Data - SKU Detail'!H185</f>
        <v>6.2103690618742</v>
      </c>
      <c r="I196" s="4">
        <f t="shared" si="20"/>
        <v>38.390509551945307</v>
      </c>
      <c r="J196" s="4">
        <f t="shared" si="21"/>
        <v>27.026741415142485</v>
      </c>
      <c r="K196" s="4">
        <f t="shared" si="22"/>
        <v>160.14762102436589</v>
      </c>
      <c r="L196" s="4">
        <f t="shared" si="23"/>
        <v>148.78385288756309</v>
      </c>
      <c r="M196" s="4">
        <f t="shared" si="24"/>
        <v>44354.485118908371</v>
      </c>
      <c r="N196" s="4">
        <f t="shared" si="25"/>
        <v>41207.17589573947</v>
      </c>
      <c r="O196" s="4">
        <f t="shared" si="26"/>
        <v>3147.3092231689006</v>
      </c>
    </row>
    <row r="197" spans="1:15" x14ac:dyDescent="0.25">
      <c r="A197" s="4">
        <f>'Data - SKU Detail'!A186</f>
        <v>4</v>
      </c>
      <c r="B197" s="4">
        <f>'Data - SKU Detail'!B186</f>
        <v>35</v>
      </c>
      <c r="C197" s="4">
        <f>'Data - SKU Detail'!C186</f>
        <v>167.93</v>
      </c>
      <c r="D197" s="4">
        <f>'Data - SKU Detail'!F186</f>
        <v>28157</v>
      </c>
      <c r="E197" s="4">
        <f t="shared" si="18"/>
        <v>33.586000000000006</v>
      </c>
      <c r="F197" s="4">
        <f t="shared" si="19"/>
        <v>1121.3977441627706</v>
      </c>
      <c r="G197" s="4">
        <f>'Data - SKU Detail'!G186</f>
        <v>12.6016317510969</v>
      </c>
      <c r="H197" s="4">
        <f>'Data - SKU Detail'!H186</f>
        <v>8.4684112764092703</v>
      </c>
      <c r="I197" s="4">
        <f t="shared" si="20"/>
        <v>54.840709038789825</v>
      </c>
      <c r="J197" s="4">
        <f t="shared" si="21"/>
        <v>36.853455806621476</v>
      </c>
      <c r="K197" s="4">
        <f t="shared" si="22"/>
        <v>615.53958112017506</v>
      </c>
      <c r="L197" s="4">
        <f t="shared" si="23"/>
        <v>597.55232788800674</v>
      </c>
      <c r="M197" s="4">
        <f t="shared" si="24"/>
        <v>20673.512371502202</v>
      </c>
      <c r="N197" s="4">
        <f t="shared" si="25"/>
        <v>20069.392484446598</v>
      </c>
      <c r="O197" s="4">
        <f t="shared" si="26"/>
        <v>604.11988705560361</v>
      </c>
    </row>
    <row r="198" spans="1:15" x14ac:dyDescent="0.25">
      <c r="A198" s="4">
        <f>'Data - SKU Detail'!A187</f>
        <v>4</v>
      </c>
      <c r="B198" s="4">
        <f>'Data - SKU Detail'!B187</f>
        <v>36</v>
      </c>
      <c r="C198" s="4">
        <f>'Data - SKU Detail'!C187</f>
        <v>78.569999999999993</v>
      </c>
      <c r="D198" s="4">
        <f>'Data - SKU Detail'!F187</f>
        <v>32997</v>
      </c>
      <c r="E198" s="4">
        <f t="shared" si="18"/>
        <v>15.713999999999999</v>
      </c>
      <c r="F198" s="4">
        <f t="shared" si="19"/>
        <v>1774.7593935307243</v>
      </c>
      <c r="G198" s="4">
        <f>'Data - SKU Detail'!G187</f>
        <v>15.409690208347699</v>
      </c>
      <c r="H198" s="4">
        <f>'Data - SKU Detail'!H187</f>
        <v>9.4100285528589396</v>
      </c>
      <c r="I198" s="4">
        <f t="shared" si="20"/>
        <v>67.061024618524144</v>
      </c>
      <c r="J198" s="4">
        <f t="shared" si="21"/>
        <v>40.951255210986638</v>
      </c>
      <c r="K198" s="4">
        <f t="shared" si="22"/>
        <v>954.44072138388628</v>
      </c>
      <c r="L198" s="4">
        <f t="shared" si="23"/>
        <v>928.33095197634884</v>
      </c>
      <c r="M198" s="4">
        <f t="shared" si="24"/>
        <v>14998.081495826387</v>
      </c>
      <c r="N198" s="4">
        <f t="shared" si="25"/>
        <v>14587.792579356345</v>
      </c>
      <c r="O198" s="4">
        <f t="shared" si="26"/>
        <v>410.28891647004275</v>
      </c>
    </row>
    <row r="199" spans="1:15" x14ac:dyDescent="0.25">
      <c r="A199" s="4">
        <f>'Data - SKU Detail'!A188</f>
        <v>4</v>
      </c>
      <c r="B199" s="4">
        <f>'Data - SKU Detail'!B188</f>
        <v>37</v>
      </c>
      <c r="C199" s="4">
        <f>'Data - SKU Detail'!C188</f>
        <v>1169.73</v>
      </c>
      <c r="D199" s="4">
        <f>'Data - SKU Detail'!F188</f>
        <v>12516</v>
      </c>
      <c r="E199" s="4">
        <f t="shared" si="18"/>
        <v>233.94600000000003</v>
      </c>
      <c r="F199" s="4">
        <f t="shared" si="19"/>
        <v>283.28305331823043</v>
      </c>
      <c r="G199" s="4">
        <f>'Data - SKU Detail'!G188</f>
        <v>8.4036585098239893</v>
      </c>
      <c r="H199" s="4">
        <f>'Data - SKU Detail'!H188</f>
        <v>6.1537083326703899</v>
      </c>
      <c r="I199" s="4">
        <f t="shared" si="20"/>
        <v>36.57165994860086</v>
      </c>
      <c r="J199" s="4">
        <f t="shared" si="21"/>
        <v>26.780161081296331</v>
      </c>
      <c r="K199" s="4">
        <f t="shared" si="22"/>
        <v>178.21318660771607</v>
      </c>
      <c r="L199" s="4">
        <f t="shared" si="23"/>
        <v>168.42168774041156</v>
      </c>
      <c r="M199" s="4">
        <f t="shared" si="24"/>
        <v>41692.262154128744</v>
      </c>
      <c r="N199" s="4">
        <f t="shared" si="25"/>
        <v>39401.580160118327</v>
      </c>
      <c r="O199" s="4">
        <f t="shared" si="26"/>
        <v>2290.6819940104178</v>
      </c>
    </row>
    <row r="200" spans="1:15" x14ac:dyDescent="0.25">
      <c r="A200" s="4">
        <f>'Data - SKU Detail'!A189</f>
        <v>4</v>
      </c>
      <c r="B200" s="4">
        <f>'Data - SKU Detail'!B189</f>
        <v>38</v>
      </c>
      <c r="C200" s="4">
        <f>'Data - SKU Detail'!C189</f>
        <v>66.37</v>
      </c>
      <c r="D200" s="4">
        <f>'Data - SKU Detail'!F189</f>
        <v>34652</v>
      </c>
      <c r="E200" s="4">
        <f t="shared" si="18"/>
        <v>13.274000000000001</v>
      </c>
      <c r="F200" s="4">
        <f t="shared" si="19"/>
        <v>1978.8317764879334</v>
      </c>
      <c r="G200" s="4">
        <f>'Data - SKU Detail'!G189</f>
        <v>14.7326671423598</v>
      </c>
      <c r="H200" s="4">
        <f>'Data - SKU Detail'!H189</f>
        <v>9.5883560257363794</v>
      </c>
      <c r="I200" s="4">
        <f t="shared" si="20"/>
        <v>64.114705783968461</v>
      </c>
      <c r="J200" s="4">
        <f t="shared" si="21"/>
        <v>41.727313839492673</v>
      </c>
      <c r="K200" s="4">
        <f t="shared" si="22"/>
        <v>1053.5305940279352</v>
      </c>
      <c r="L200" s="4">
        <f t="shared" si="23"/>
        <v>1031.1432020834593</v>
      </c>
      <c r="M200" s="4">
        <f t="shared" si="24"/>
        <v>13984.565105126812</v>
      </c>
      <c r="N200" s="4">
        <f t="shared" si="25"/>
        <v>13687.39486445584</v>
      </c>
      <c r="O200" s="4">
        <f t="shared" si="26"/>
        <v>297.17024067097191</v>
      </c>
    </row>
    <row r="201" spans="1:15" x14ac:dyDescent="0.25">
      <c r="A201" s="4">
        <f>'Data - SKU Detail'!A190</f>
        <v>4</v>
      </c>
      <c r="B201" s="4">
        <f>'Data - SKU Detail'!B190</f>
        <v>39</v>
      </c>
      <c r="C201" s="4">
        <f>'Data - SKU Detail'!C190</f>
        <v>503.01</v>
      </c>
      <c r="D201" s="4">
        <f>'Data - SKU Detail'!F190</f>
        <v>18921</v>
      </c>
      <c r="E201" s="4">
        <f t="shared" si="18"/>
        <v>100.602</v>
      </c>
      <c r="F201" s="4">
        <f t="shared" si="19"/>
        <v>531.14655013519803</v>
      </c>
      <c r="G201" s="4">
        <f>'Data - SKU Detail'!G190</f>
        <v>12.825909001332599</v>
      </c>
      <c r="H201" s="4">
        <f>'Data - SKU Detail'!H190</f>
        <v>8.0182423712708299</v>
      </c>
      <c r="I201" s="4">
        <f t="shared" si="20"/>
        <v>55.816735292145879</v>
      </c>
      <c r="J201" s="4">
        <f t="shared" si="21"/>
        <v>34.894377614794536</v>
      </c>
      <c r="K201" s="4">
        <f t="shared" si="22"/>
        <v>321.39001035974491</v>
      </c>
      <c r="L201" s="4">
        <f t="shared" si="23"/>
        <v>300.46765268239358</v>
      </c>
      <c r="M201" s="4">
        <f t="shared" si="24"/>
        <v>32332.477822211058</v>
      </c>
      <c r="N201" s="4">
        <f t="shared" si="25"/>
        <v>30227.64679515416</v>
      </c>
      <c r="O201" s="4">
        <f t="shared" si="26"/>
        <v>2104.8310270568982</v>
      </c>
    </row>
    <row r="202" spans="1:15" x14ac:dyDescent="0.25">
      <c r="A202" s="4">
        <f>'Data - SKU Detail'!A191</f>
        <v>4</v>
      </c>
      <c r="B202" s="4">
        <f>'Data - SKU Detail'!B191</f>
        <v>40</v>
      </c>
      <c r="C202" s="4">
        <f>'Data - SKU Detail'!C191</f>
        <v>1272.73</v>
      </c>
      <c r="D202" s="4">
        <f>'Data - SKU Detail'!F191</f>
        <v>12445</v>
      </c>
      <c r="E202" s="4">
        <f t="shared" si="18"/>
        <v>254.54600000000002</v>
      </c>
      <c r="F202" s="4">
        <f t="shared" si="19"/>
        <v>270.8070346082639</v>
      </c>
      <c r="G202" s="4">
        <f>'Data - SKU Detail'!G191</f>
        <v>8.6110408133485397</v>
      </c>
      <c r="H202" s="4">
        <f>'Data - SKU Detail'!H191</f>
        <v>5.8068358993201397</v>
      </c>
      <c r="I202" s="4">
        <f t="shared" si="20"/>
        <v>37.474161528715193</v>
      </c>
      <c r="J202" s="4">
        <f t="shared" si="21"/>
        <v>25.270616082151097</v>
      </c>
      <c r="K202" s="4">
        <f t="shared" si="22"/>
        <v>172.87767883284715</v>
      </c>
      <c r="L202" s="4">
        <f t="shared" si="23"/>
        <v>160.67413338628305</v>
      </c>
      <c r="M202" s="4">
        <f t="shared" si="24"/>
        <v>44005.321636185916</v>
      </c>
      <c r="N202" s="4">
        <f t="shared" si="25"/>
        <v>40898.957956944811</v>
      </c>
      <c r="O202" s="4">
        <f t="shared" si="26"/>
        <v>3106.3636792411053</v>
      </c>
    </row>
    <row r="203" spans="1:15" x14ac:dyDescent="0.25">
      <c r="A203" s="4">
        <f>'Data - SKU Detail'!A192</f>
        <v>4</v>
      </c>
      <c r="B203" s="4">
        <f>'Data - SKU Detail'!B192</f>
        <v>41</v>
      </c>
      <c r="C203" s="4">
        <f>'Data - SKU Detail'!C192</f>
        <v>2111.73</v>
      </c>
      <c r="D203" s="4">
        <f>'Data - SKU Detail'!F192</f>
        <v>9539</v>
      </c>
      <c r="E203" s="4">
        <f t="shared" si="18"/>
        <v>422.346</v>
      </c>
      <c r="F203" s="4">
        <f t="shared" si="19"/>
        <v>184.0614594270485</v>
      </c>
      <c r="G203" s="4">
        <f>'Data - SKU Detail'!G192</f>
        <v>6.8819824030917403</v>
      </c>
      <c r="H203" s="4">
        <f>'Data - SKU Detail'!H192</f>
        <v>4.92755963407562</v>
      </c>
      <c r="I203" s="4">
        <f t="shared" si="20"/>
        <v>29.949517811070308</v>
      </c>
      <c r="J203" s="4">
        <f t="shared" si="21"/>
        <v>21.444116881141575</v>
      </c>
      <c r="K203" s="4">
        <f t="shared" si="22"/>
        <v>121.98024752459456</v>
      </c>
      <c r="L203" s="4">
        <f t="shared" si="23"/>
        <v>113.47484659466582</v>
      </c>
      <c r="M203" s="4">
        <f t="shared" si="24"/>
        <v>51517.869621022415</v>
      </c>
      <c r="N203" s="4">
        <f t="shared" si="25"/>
        <v>47925.647559870733</v>
      </c>
      <c r="O203" s="4">
        <f t="shared" si="26"/>
        <v>3592.2220611516823</v>
      </c>
    </row>
    <row r="204" spans="1:15" x14ac:dyDescent="0.25">
      <c r="A204" s="4">
        <f>'Data - SKU Detail'!A193</f>
        <v>4</v>
      </c>
      <c r="B204" s="4">
        <f>'Data - SKU Detail'!B193</f>
        <v>42</v>
      </c>
      <c r="C204" s="4">
        <f>'Data - SKU Detail'!C193</f>
        <v>704.99</v>
      </c>
      <c r="D204" s="4">
        <f>'Data - SKU Detail'!F193</f>
        <v>15563</v>
      </c>
      <c r="E204" s="4">
        <f t="shared" si="18"/>
        <v>140.99800000000002</v>
      </c>
      <c r="F204" s="4">
        <f t="shared" si="19"/>
        <v>406.89824064950568</v>
      </c>
      <c r="G204" s="4">
        <f>'Data - SKU Detail'!G193</f>
        <v>10.4896600055944</v>
      </c>
      <c r="H204" s="4">
        <f>'Data - SKU Detail'!H193</f>
        <v>6.72820422554598</v>
      </c>
      <c r="I204" s="4">
        <f t="shared" si="20"/>
        <v>45.649674871078489</v>
      </c>
      <c r="J204" s="4">
        <f t="shared" si="21"/>
        <v>29.280294613799178</v>
      </c>
      <c r="K204" s="4">
        <f t="shared" si="22"/>
        <v>249.09879519583131</v>
      </c>
      <c r="L204" s="4">
        <f t="shared" si="23"/>
        <v>232.72941493855203</v>
      </c>
      <c r="M204" s="4">
        <f t="shared" si="24"/>
        <v>35122.431925021825</v>
      </c>
      <c r="N204" s="4">
        <f t="shared" si="25"/>
        <v>32814.382047505962</v>
      </c>
      <c r="O204" s="4">
        <f t="shared" si="26"/>
        <v>2308.049877515863</v>
      </c>
    </row>
    <row r="205" spans="1:15" x14ac:dyDescent="0.25">
      <c r="A205" s="4">
        <f>'Data - SKU Detail'!A194</f>
        <v>4</v>
      </c>
      <c r="B205" s="4">
        <f>'Data - SKU Detail'!B194</f>
        <v>43</v>
      </c>
      <c r="C205" s="4">
        <f>'Data - SKU Detail'!C194</f>
        <v>358.9</v>
      </c>
      <c r="D205" s="4">
        <f>'Data - SKU Detail'!F194</f>
        <v>22067</v>
      </c>
      <c r="E205" s="4">
        <f t="shared" ref="E205:E268" si="27">C205*$B$6</f>
        <v>71.78</v>
      </c>
      <c r="F205" s="4">
        <f t="shared" ref="F205:F268" si="28">SQRT(2*D205*$B$5/E205)</f>
        <v>679.07157211572758</v>
      </c>
      <c r="G205" s="4">
        <f>'Data - SKU Detail'!G194</f>
        <v>12.188297121322201</v>
      </c>
      <c r="H205" s="4">
        <f>'Data - SKU Detail'!H194</f>
        <v>8.3883258520630601</v>
      </c>
      <c r="I205" s="4">
        <f t="shared" ref="I205:I268" si="29">$B$9*G205*SQRT($B$7)</f>
        <v>53.041928958967461</v>
      </c>
      <c r="J205" s="4">
        <f t="shared" ref="J205:J268" si="30">$B$9*H205*SQRT($B$7)</f>
        <v>36.504934159459687</v>
      </c>
      <c r="K205" s="4">
        <f t="shared" ref="K205:K268" si="31">F205/2+I205</f>
        <v>392.57771501683123</v>
      </c>
      <c r="L205" s="4">
        <f t="shared" ref="L205:L268" si="32">F205/2+J205</f>
        <v>376.0407202173235</v>
      </c>
      <c r="M205" s="4">
        <f t="shared" ref="M205:M268" si="33">K205*E205</f>
        <v>28179.228383908146</v>
      </c>
      <c r="N205" s="4">
        <f t="shared" ref="N205:N268" si="34">L205*E205</f>
        <v>26992.202897199481</v>
      </c>
      <c r="O205" s="4">
        <f t="shared" ref="O205:O268" si="35">M205-N205</f>
        <v>1187.025486708666</v>
      </c>
    </row>
    <row r="206" spans="1:15" x14ac:dyDescent="0.25">
      <c r="A206" s="4">
        <f>'Data - SKU Detail'!A195</f>
        <v>4</v>
      </c>
      <c r="B206" s="4">
        <f>'Data - SKU Detail'!B195</f>
        <v>44</v>
      </c>
      <c r="C206" s="4">
        <f>'Data - SKU Detail'!C195</f>
        <v>908.1</v>
      </c>
      <c r="D206" s="4">
        <f>'Data - SKU Detail'!F195</f>
        <v>12601</v>
      </c>
      <c r="E206" s="4">
        <f t="shared" si="27"/>
        <v>181.62</v>
      </c>
      <c r="F206" s="4">
        <f t="shared" si="28"/>
        <v>322.60143852759347</v>
      </c>
      <c r="G206" s="4">
        <f>'Data - SKU Detail'!G195</f>
        <v>8.8918960081729708</v>
      </c>
      <c r="H206" s="4">
        <f>'Data - SKU Detail'!H195</f>
        <v>6.51221771469171</v>
      </c>
      <c r="I206" s="4">
        <f t="shared" si="29"/>
        <v>38.696407847733248</v>
      </c>
      <c r="J206" s="4">
        <f t="shared" si="30"/>
        <v>28.340348610613407</v>
      </c>
      <c r="K206" s="4">
        <f t="shared" si="31"/>
        <v>199.99712711152998</v>
      </c>
      <c r="L206" s="4">
        <f t="shared" si="32"/>
        <v>189.64106787441014</v>
      </c>
      <c r="M206" s="4">
        <f t="shared" si="33"/>
        <v>36323.478225996078</v>
      </c>
      <c r="N206" s="4">
        <f t="shared" si="34"/>
        <v>34442.610747350373</v>
      </c>
      <c r="O206" s="4">
        <f t="shared" si="35"/>
        <v>1880.867478645705</v>
      </c>
    </row>
    <row r="207" spans="1:15" x14ac:dyDescent="0.25">
      <c r="A207" s="4">
        <f>'Data - SKU Detail'!A196</f>
        <v>4</v>
      </c>
      <c r="B207" s="4">
        <f>'Data - SKU Detail'!B196</f>
        <v>45</v>
      </c>
      <c r="C207" s="4">
        <f>'Data - SKU Detail'!C196</f>
        <v>61</v>
      </c>
      <c r="D207" s="4">
        <f>'Data - SKU Detail'!F196</f>
        <v>34502</v>
      </c>
      <c r="E207" s="4">
        <f t="shared" si="27"/>
        <v>12.200000000000001</v>
      </c>
      <c r="F207" s="4">
        <f t="shared" si="28"/>
        <v>2059.623553062032</v>
      </c>
      <c r="G207" s="4">
        <f>'Data - SKU Detail'!G196</f>
        <v>16.0569452178073</v>
      </c>
      <c r="H207" s="4">
        <f>'Data - SKU Detail'!H196</f>
        <v>10.358150361123201</v>
      </c>
      <c r="I207" s="4">
        <f t="shared" si="29"/>
        <v>69.877796632559821</v>
      </c>
      <c r="J207" s="4">
        <f t="shared" si="30"/>
        <v>45.077361515896371</v>
      </c>
      <c r="K207" s="4">
        <f t="shared" si="31"/>
        <v>1099.6895731635759</v>
      </c>
      <c r="L207" s="4">
        <f t="shared" si="32"/>
        <v>1074.8891380469124</v>
      </c>
      <c r="M207" s="4">
        <f t="shared" si="33"/>
        <v>13416.212792595627</v>
      </c>
      <c r="N207" s="4">
        <f t="shared" si="34"/>
        <v>13113.647484172332</v>
      </c>
      <c r="O207" s="4">
        <f t="shared" si="35"/>
        <v>302.56530842329448</v>
      </c>
    </row>
    <row r="208" spans="1:15" x14ac:dyDescent="0.25">
      <c r="A208" s="4">
        <f>'Data - SKU Detail'!A197</f>
        <v>4</v>
      </c>
      <c r="B208" s="4">
        <f>'Data - SKU Detail'!B197</f>
        <v>46</v>
      </c>
      <c r="C208" s="4">
        <f>'Data - SKU Detail'!C197</f>
        <v>216.31</v>
      </c>
      <c r="D208" s="4">
        <f>'Data - SKU Detail'!F197</f>
        <v>25081</v>
      </c>
      <c r="E208" s="4">
        <f t="shared" si="27"/>
        <v>43.262</v>
      </c>
      <c r="F208" s="4">
        <f t="shared" si="28"/>
        <v>932.5341762259502</v>
      </c>
      <c r="G208" s="4">
        <f>'Data - SKU Detail'!G197</f>
        <v>12.847682589542901</v>
      </c>
      <c r="H208" s="4">
        <f>'Data - SKU Detail'!H197</f>
        <v>8.1973839727461897</v>
      </c>
      <c r="I208" s="4">
        <f t="shared" si="29"/>
        <v>55.911491196726857</v>
      </c>
      <c r="J208" s="4">
        <f t="shared" si="30"/>
        <v>35.673979228085443</v>
      </c>
      <c r="K208" s="4">
        <f t="shared" si="31"/>
        <v>522.17857930970195</v>
      </c>
      <c r="L208" s="4">
        <f t="shared" si="32"/>
        <v>501.94106734106055</v>
      </c>
      <c r="M208" s="4">
        <f t="shared" si="33"/>
        <v>22590.489698096324</v>
      </c>
      <c r="N208" s="4">
        <f t="shared" si="34"/>
        <v>21714.974455308962</v>
      </c>
      <c r="O208" s="4">
        <f t="shared" si="35"/>
        <v>875.51524278736179</v>
      </c>
    </row>
    <row r="209" spans="1:15" x14ac:dyDescent="0.25">
      <c r="A209" s="4">
        <f>'Data - SKU Detail'!A198</f>
        <v>4</v>
      </c>
      <c r="B209" s="4">
        <f>'Data - SKU Detail'!B198</f>
        <v>47</v>
      </c>
      <c r="C209" s="4">
        <f>'Data - SKU Detail'!C198</f>
        <v>1940.83</v>
      </c>
      <c r="D209" s="4">
        <f>'Data - SKU Detail'!F198</f>
        <v>9470</v>
      </c>
      <c r="E209" s="4">
        <f t="shared" si="27"/>
        <v>388.166</v>
      </c>
      <c r="F209" s="4">
        <f t="shared" si="28"/>
        <v>191.29863576790206</v>
      </c>
      <c r="G209" s="4">
        <f>'Data - SKU Detail'!G198</f>
        <v>6.5069333450998901</v>
      </c>
      <c r="H209" s="4">
        <f>'Data - SKU Detail'!H198</f>
        <v>4.8738634920057802</v>
      </c>
      <c r="I209" s="4">
        <f t="shared" si="29"/>
        <v>28.317351701882668</v>
      </c>
      <c r="J209" s="4">
        <f t="shared" si="30"/>
        <v>21.210438055897278</v>
      </c>
      <c r="K209" s="4">
        <f t="shared" si="31"/>
        <v>123.9666695858337</v>
      </c>
      <c r="L209" s="4">
        <f t="shared" si="32"/>
        <v>116.8597559398483</v>
      </c>
      <c r="M209" s="4">
        <f t="shared" si="33"/>
        <v>48119.646266454722</v>
      </c>
      <c r="N209" s="4">
        <f t="shared" si="34"/>
        <v>45360.984024147154</v>
      </c>
      <c r="O209" s="4">
        <f t="shared" si="35"/>
        <v>2758.6622423075678</v>
      </c>
    </row>
    <row r="210" spans="1:15" x14ac:dyDescent="0.25">
      <c r="A210" s="4">
        <f>'Data - SKU Detail'!A199</f>
        <v>4</v>
      </c>
      <c r="B210" s="4">
        <f>'Data - SKU Detail'!B199</f>
        <v>48</v>
      </c>
      <c r="C210" s="4">
        <f>'Data - SKU Detail'!C199</f>
        <v>329.86</v>
      </c>
      <c r="D210" s="4">
        <f>'Data - SKU Detail'!F199</f>
        <v>21993</v>
      </c>
      <c r="E210" s="4">
        <f t="shared" si="27"/>
        <v>65.972000000000008</v>
      </c>
      <c r="F210" s="4">
        <f t="shared" si="28"/>
        <v>707.14429419340092</v>
      </c>
      <c r="G210" s="4">
        <f>'Data - SKU Detail'!G199</f>
        <v>11.9645668542391</v>
      </c>
      <c r="H210" s="4">
        <f>'Data - SKU Detail'!H199</f>
        <v>7.6364739973936304</v>
      </c>
      <c r="I210" s="4">
        <f t="shared" si="29"/>
        <v>52.068283107174722</v>
      </c>
      <c r="J210" s="4">
        <f t="shared" si="30"/>
        <v>33.232969891926501</v>
      </c>
      <c r="K210" s="4">
        <f t="shared" si="31"/>
        <v>405.64043020387521</v>
      </c>
      <c r="L210" s="4">
        <f t="shared" si="32"/>
        <v>386.80511698862699</v>
      </c>
      <c r="M210" s="4">
        <f t="shared" si="33"/>
        <v>26760.910461410058</v>
      </c>
      <c r="N210" s="4">
        <f t="shared" si="34"/>
        <v>25518.307177973704</v>
      </c>
      <c r="O210" s="4">
        <f t="shared" si="35"/>
        <v>1242.6032834363541</v>
      </c>
    </row>
    <row r="211" spans="1:15" x14ac:dyDescent="0.25">
      <c r="A211" s="4">
        <f>'Data - SKU Detail'!A200</f>
        <v>4</v>
      </c>
      <c r="B211" s="4">
        <f>'Data - SKU Detail'!B200</f>
        <v>49</v>
      </c>
      <c r="C211" s="4">
        <f>'Data - SKU Detail'!C200</f>
        <v>988.06</v>
      </c>
      <c r="D211" s="4">
        <f>'Data - SKU Detail'!F200</f>
        <v>12650</v>
      </c>
      <c r="E211" s="4">
        <f t="shared" si="27"/>
        <v>197.61199999999999</v>
      </c>
      <c r="F211" s="4">
        <f t="shared" si="28"/>
        <v>309.87335585726424</v>
      </c>
      <c r="G211" s="4">
        <f>'Data - SKU Detail'!G200</f>
        <v>8.5262866070909809</v>
      </c>
      <c r="H211" s="4">
        <f>'Data - SKU Detail'!H200</f>
        <v>5.4123778123433501</v>
      </c>
      <c r="I211" s="4">
        <f t="shared" si="29"/>
        <v>37.105321932622431</v>
      </c>
      <c r="J211" s="4">
        <f t="shared" si="30"/>
        <v>23.553984331345589</v>
      </c>
      <c r="K211" s="4">
        <f t="shared" si="31"/>
        <v>192.04199986125457</v>
      </c>
      <c r="L211" s="4">
        <f t="shared" si="32"/>
        <v>178.49066225997771</v>
      </c>
      <c r="M211" s="4">
        <f t="shared" si="33"/>
        <v>37949.80367658224</v>
      </c>
      <c r="N211" s="4">
        <f t="shared" si="34"/>
        <v>35271.896750518717</v>
      </c>
      <c r="O211" s="4">
        <f t="shared" si="35"/>
        <v>2677.9069260635224</v>
      </c>
    </row>
    <row r="212" spans="1:15" x14ac:dyDescent="0.25">
      <c r="A212" s="4">
        <f>'Data - SKU Detail'!A201</f>
        <v>4</v>
      </c>
      <c r="B212" s="4">
        <f>'Data - SKU Detail'!B201</f>
        <v>50</v>
      </c>
      <c r="C212" s="4">
        <f>'Data - SKU Detail'!C201</f>
        <v>154.34</v>
      </c>
      <c r="D212" s="4">
        <f>'Data - SKU Detail'!F201</f>
        <v>28027</v>
      </c>
      <c r="E212" s="4">
        <f t="shared" si="27"/>
        <v>30.868000000000002</v>
      </c>
      <c r="F212" s="4">
        <f t="shared" si="28"/>
        <v>1167.0237394538635</v>
      </c>
      <c r="G212" s="4">
        <f>'Data - SKU Detail'!G201</f>
        <v>14.188761425450201</v>
      </c>
      <c r="H212" s="4">
        <f>'Data - SKU Detail'!H201</f>
        <v>9.6488236249205102</v>
      </c>
      <c r="I212" s="4">
        <f t="shared" si="29"/>
        <v>61.747696831895453</v>
      </c>
      <c r="J212" s="4">
        <f t="shared" si="30"/>
        <v>41.990461190457154</v>
      </c>
      <c r="K212" s="4">
        <f t="shared" si="31"/>
        <v>645.25956655882726</v>
      </c>
      <c r="L212" s="4">
        <f t="shared" si="32"/>
        <v>625.50233091738892</v>
      </c>
      <c r="M212" s="4">
        <f t="shared" si="33"/>
        <v>19917.872300537882</v>
      </c>
      <c r="N212" s="4">
        <f t="shared" si="34"/>
        <v>19308.005950757961</v>
      </c>
      <c r="O212" s="4">
        <f t="shared" si="35"/>
        <v>609.86634977992071</v>
      </c>
    </row>
    <row r="213" spans="1:15" x14ac:dyDescent="0.25">
      <c r="A213" s="4">
        <f>'Data - SKU Detail'!A202</f>
        <v>5</v>
      </c>
      <c r="B213" s="4">
        <f>'Data - SKU Detail'!B202</f>
        <v>1</v>
      </c>
      <c r="C213" s="4">
        <f>'Data - SKU Detail'!C202</f>
        <v>2297.6799999999998</v>
      </c>
      <c r="D213" s="4">
        <f>'Data - SKU Detail'!F202</f>
        <v>6786</v>
      </c>
      <c r="E213" s="4">
        <f t="shared" si="27"/>
        <v>459.536</v>
      </c>
      <c r="F213" s="4">
        <f t="shared" si="28"/>
        <v>148.83079011952267</v>
      </c>
      <c r="G213" s="4">
        <f>'Data - SKU Detail'!G202</f>
        <v>5.7593481209930699</v>
      </c>
      <c r="H213" s="4">
        <f>'Data - SKU Detail'!H202</f>
        <v>4.3464180413190796</v>
      </c>
      <c r="I213" s="4">
        <f t="shared" si="29"/>
        <v>25.063955271426593</v>
      </c>
      <c r="J213" s="4">
        <f t="shared" si="30"/>
        <v>18.915062102507356</v>
      </c>
      <c r="K213" s="4">
        <f t="shared" si="31"/>
        <v>99.479350331187931</v>
      </c>
      <c r="L213" s="4">
        <f t="shared" si="32"/>
        <v>93.330457162268686</v>
      </c>
      <c r="M213" s="4">
        <f t="shared" si="33"/>
        <v>45714.342733792779</v>
      </c>
      <c r="N213" s="4">
        <f t="shared" si="34"/>
        <v>42888.7049625203</v>
      </c>
      <c r="O213" s="4">
        <f t="shared" si="35"/>
        <v>2825.6377712724789</v>
      </c>
    </row>
    <row r="214" spans="1:15" x14ac:dyDescent="0.25">
      <c r="A214" s="4">
        <f>'Data - SKU Detail'!A203</f>
        <v>5</v>
      </c>
      <c r="B214" s="4">
        <f>'Data - SKU Detail'!B203</f>
        <v>2</v>
      </c>
      <c r="C214" s="4">
        <f>'Data - SKU Detail'!C203</f>
        <v>235.35</v>
      </c>
      <c r="D214" s="4">
        <f>'Data - SKU Detail'!F203</f>
        <v>18287</v>
      </c>
      <c r="E214" s="4">
        <f t="shared" si="27"/>
        <v>47.07</v>
      </c>
      <c r="F214" s="4">
        <f t="shared" si="28"/>
        <v>763.38700510724107</v>
      </c>
      <c r="G214" s="4">
        <f>'Data - SKU Detail'!G203</f>
        <v>10.7619865061932</v>
      </c>
      <c r="H214" s="4">
        <f>'Data - SKU Detail'!H203</f>
        <v>7.9736056354553497</v>
      </c>
      <c r="I214" s="4">
        <f t="shared" si="29"/>
        <v>46.834805390512258</v>
      </c>
      <c r="J214" s="4">
        <f t="shared" si="30"/>
        <v>34.700124180822783</v>
      </c>
      <c r="K214" s="4">
        <f t="shared" si="31"/>
        <v>428.52830794413279</v>
      </c>
      <c r="L214" s="4">
        <f t="shared" si="32"/>
        <v>416.39362673444333</v>
      </c>
      <c r="M214" s="4">
        <f t="shared" si="33"/>
        <v>20170.827454930331</v>
      </c>
      <c r="N214" s="4">
        <f t="shared" si="34"/>
        <v>19599.648010390247</v>
      </c>
      <c r="O214" s="4">
        <f t="shared" si="35"/>
        <v>571.17944454008466</v>
      </c>
    </row>
    <row r="215" spans="1:15" x14ac:dyDescent="0.25">
      <c r="A215" s="4">
        <f>'Data - SKU Detail'!A204</f>
        <v>5</v>
      </c>
      <c r="B215" s="4">
        <f>'Data - SKU Detail'!B204</f>
        <v>3</v>
      </c>
      <c r="C215" s="4">
        <f>'Data - SKU Detail'!C204</f>
        <v>767.06</v>
      </c>
      <c r="D215" s="4">
        <f>'Data - SKU Detail'!F204</f>
        <v>11269</v>
      </c>
      <c r="E215" s="4">
        <f t="shared" si="27"/>
        <v>153.41200000000001</v>
      </c>
      <c r="F215" s="4">
        <f t="shared" si="28"/>
        <v>331.93928415988387</v>
      </c>
      <c r="G215" s="4">
        <f>'Data - SKU Detail'!G204</f>
        <v>8.0725552997996299</v>
      </c>
      <c r="H215" s="4">
        <f>'Data - SKU Detail'!H204</f>
        <v>5.5442314472127396</v>
      </c>
      <c r="I215" s="4">
        <f t="shared" si="29"/>
        <v>35.130740616771106</v>
      </c>
      <c r="J215" s="4">
        <f t="shared" si="30"/>
        <v>24.127794689274008</v>
      </c>
      <c r="K215" s="4">
        <f t="shared" si="31"/>
        <v>201.10038269671304</v>
      </c>
      <c r="L215" s="4">
        <f t="shared" si="32"/>
        <v>190.09743676921593</v>
      </c>
      <c r="M215" s="4">
        <f t="shared" si="33"/>
        <v>30851.211910268143</v>
      </c>
      <c r="N215" s="4">
        <f t="shared" si="34"/>
        <v>29163.227969638956</v>
      </c>
      <c r="O215" s="4">
        <f t="shared" si="35"/>
        <v>1687.9839406291867</v>
      </c>
    </row>
    <row r="216" spans="1:15" x14ac:dyDescent="0.25">
      <c r="A216" s="4">
        <f>'Data - SKU Detail'!A205</f>
        <v>5</v>
      </c>
      <c r="B216" s="4">
        <f>'Data - SKU Detail'!B205</f>
        <v>4</v>
      </c>
      <c r="C216" s="4">
        <f>'Data - SKU Detail'!C205</f>
        <v>1783.76</v>
      </c>
      <c r="D216" s="4">
        <f>'Data - SKU Detail'!F205</f>
        <v>6803</v>
      </c>
      <c r="E216" s="4">
        <f t="shared" si="27"/>
        <v>356.75200000000001</v>
      </c>
      <c r="F216" s="4">
        <f t="shared" si="28"/>
        <v>169.12688761004529</v>
      </c>
      <c r="G216" s="4">
        <f>'Data - SKU Detail'!G205</f>
        <v>5.61761273691243</v>
      </c>
      <c r="H216" s="4">
        <f>'Data - SKU Detail'!H205</f>
        <v>3.9287635715535298</v>
      </c>
      <c r="I216" s="4">
        <f t="shared" si="29"/>
        <v>24.447140789588481</v>
      </c>
      <c r="J216" s="4">
        <f t="shared" si="30"/>
        <v>17.097482624899719</v>
      </c>
      <c r="K216" s="4">
        <f t="shared" si="31"/>
        <v>109.01058459461112</v>
      </c>
      <c r="L216" s="4">
        <f t="shared" si="32"/>
        <v>101.66092642992237</v>
      </c>
      <c r="M216" s="4">
        <f t="shared" si="33"/>
        <v>38889.744075296709</v>
      </c>
      <c r="N216" s="4">
        <f t="shared" si="34"/>
        <v>36267.738825727669</v>
      </c>
      <c r="O216" s="4">
        <f t="shared" si="35"/>
        <v>2622.0052495690397</v>
      </c>
    </row>
    <row r="217" spans="1:15" x14ac:dyDescent="0.25">
      <c r="A217" s="4">
        <f>'Data - SKU Detail'!A206</f>
        <v>5</v>
      </c>
      <c r="B217" s="4">
        <f>'Data - SKU Detail'!B206</f>
        <v>5</v>
      </c>
      <c r="C217" s="4">
        <f>'Data - SKU Detail'!C206</f>
        <v>2500</v>
      </c>
      <c r="D217" s="4">
        <f>'Data - SKU Detail'!F206</f>
        <v>5794</v>
      </c>
      <c r="E217" s="4">
        <f t="shared" si="27"/>
        <v>500</v>
      </c>
      <c r="F217" s="4">
        <f t="shared" si="28"/>
        <v>131.84081310428877</v>
      </c>
      <c r="G217" s="4">
        <f>'Data - SKU Detail'!G206</f>
        <v>5.7941578069491602</v>
      </c>
      <c r="H217" s="4">
        <f>'Data - SKU Detail'!H206</f>
        <v>4.00472313689699</v>
      </c>
      <c r="I217" s="4">
        <f t="shared" si="29"/>
        <v>25.215442626156143</v>
      </c>
      <c r="J217" s="4">
        <f t="shared" si="30"/>
        <v>17.42804905502501</v>
      </c>
      <c r="K217" s="4">
        <f t="shared" si="31"/>
        <v>91.135849178300532</v>
      </c>
      <c r="L217" s="4">
        <f t="shared" si="32"/>
        <v>83.348455607169399</v>
      </c>
      <c r="M217" s="4">
        <f t="shared" si="33"/>
        <v>45567.924589150265</v>
      </c>
      <c r="N217" s="4">
        <f t="shared" si="34"/>
        <v>41674.227803584698</v>
      </c>
      <c r="O217" s="4">
        <f t="shared" si="35"/>
        <v>3893.6967855655676</v>
      </c>
    </row>
    <row r="218" spans="1:15" x14ac:dyDescent="0.25">
      <c r="A218" s="4">
        <f>'Data - SKU Detail'!A207</f>
        <v>5</v>
      </c>
      <c r="B218" s="4">
        <f>'Data - SKU Detail'!B207</f>
        <v>6</v>
      </c>
      <c r="C218" s="4">
        <f>'Data - SKU Detail'!C207</f>
        <v>278.63</v>
      </c>
      <c r="D218" s="4">
        <f>'Data - SKU Detail'!F207</f>
        <v>18099</v>
      </c>
      <c r="E218" s="4">
        <f t="shared" si="27"/>
        <v>55.725999999999999</v>
      </c>
      <c r="F218" s="4">
        <f t="shared" si="28"/>
        <v>697.98161642159732</v>
      </c>
      <c r="G218" s="4">
        <f>'Data - SKU Detail'!G207</f>
        <v>10.7103862947113</v>
      </c>
      <c r="H218" s="4">
        <f>'Data - SKU Detail'!H207</f>
        <v>6.89561802739426</v>
      </c>
      <c r="I218" s="4">
        <f t="shared" si="29"/>
        <v>46.610247790344921</v>
      </c>
      <c r="J218" s="4">
        <f t="shared" si="30"/>
        <v>30.008858325037608</v>
      </c>
      <c r="K218" s="4">
        <f t="shared" si="31"/>
        <v>395.6010560011436</v>
      </c>
      <c r="L218" s="4">
        <f t="shared" si="32"/>
        <v>378.99966653583624</v>
      </c>
      <c r="M218" s="4">
        <f t="shared" si="33"/>
        <v>22045.264446719728</v>
      </c>
      <c r="N218" s="4">
        <f t="shared" si="34"/>
        <v>21120.135417376008</v>
      </c>
      <c r="O218" s="4">
        <f t="shared" si="35"/>
        <v>925.12902934371959</v>
      </c>
    </row>
    <row r="219" spans="1:15" x14ac:dyDescent="0.25">
      <c r="A219" s="4">
        <f>'Data - SKU Detail'!A208</f>
        <v>5</v>
      </c>
      <c r="B219" s="4">
        <f>'Data - SKU Detail'!B208</f>
        <v>7</v>
      </c>
      <c r="C219" s="4">
        <f>'Data - SKU Detail'!C208</f>
        <v>256.08</v>
      </c>
      <c r="D219" s="4">
        <f>'Data - SKU Detail'!F208</f>
        <v>18014</v>
      </c>
      <c r="E219" s="4">
        <f t="shared" si="27"/>
        <v>51.216000000000001</v>
      </c>
      <c r="F219" s="4">
        <f t="shared" si="28"/>
        <v>726.35324372970456</v>
      </c>
      <c r="G219" s="4">
        <f>'Data - SKU Detail'!G208</f>
        <v>10.999560213594901</v>
      </c>
      <c r="H219" s="4">
        <f>'Data - SKU Detail'!H208</f>
        <v>6.9596943866569596</v>
      </c>
      <c r="I219" s="4">
        <f t="shared" si="29"/>
        <v>47.868696145314644</v>
      </c>
      <c r="J219" s="4">
        <f t="shared" si="30"/>
        <v>30.287710543861159</v>
      </c>
      <c r="K219" s="4">
        <f t="shared" si="31"/>
        <v>411.04531801016691</v>
      </c>
      <c r="L219" s="4">
        <f t="shared" si="32"/>
        <v>393.46433240871346</v>
      </c>
      <c r="M219" s="4">
        <f t="shared" si="33"/>
        <v>21052.097007208708</v>
      </c>
      <c r="N219" s="4">
        <f t="shared" si="34"/>
        <v>20151.66924864467</v>
      </c>
      <c r="O219" s="4">
        <f t="shared" si="35"/>
        <v>900.4277585640375</v>
      </c>
    </row>
    <row r="220" spans="1:15" x14ac:dyDescent="0.25">
      <c r="A220" s="4">
        <f>'Data - SKU Detail'!A209</f>
        <v>5</v>
      </c>
      <c r="B220" s="4">
        <f>'Data - SKU Detail'!B209</f>
        <v>8</v>
      </c>
      <c r="C220" s="4">
        <f>'Data - SKU Detail'!C209</f>
        <v>85.49</v>
      </c>
      <c r="D220" s="4">
        <f>'Data - SKU Detail'!F209</f>
        <v>24141</v>
      </c>
      <c r="E220" s="4">
        <f t="shared" si="27"/>
        <v>17.097999999999999</v>
      </c>
      <c r="F220" s="4">
        <f t="shared" si="28"/>
        <v>1455.2935388184744</v>
      </c>
      <c r="G220" s="4">
        <f>'Data - SKU Detail'!G209</f>
        <v>13.710102607977101</v>
      </c>
      <c r="H220" s="4">
        <f>'Data - SKU Detail'!H209</f>
        <v>8.3269445810044207</v>
      </c>
      <c r="I220" s="4">
        <f t="shared" si="29"/>
        <v>59.66463414157294</v>
      </c>
      <c r="J220" s="4">
        <f t="shared" si="30"/>
        <v>36.237810623948903</v>
      </c>
      <c r="K220" s="4">
        <f t="shared" si="31"/>
        <v>787.31140355081016</v>
      </c>
      <c r="L220" s="4">
        <f t="shared" si="32"/>
        <v>763.88458003318613</v>
      </c>
      <c r="M220" s="4">
        <f t="shared" si="33"/>
        <v>13461.450377911751</v>
      </c>
      <c r="N220" s="4">
        <f t="shared" si="34"/>
        <v>13060.898549407415</v>
      </c>
      <c r="O220" s="4">
        <f t="shared" si="35"/>
        <v>400.5518285043363</v>
      </c>
    </row>
    <row r="221" spans="1:15" x14ac:dyDescent="0.25">
      <c r="A221" s="4">
        <f>'Data - SKU Detail'!A210</f>
        <v>5</v>
      </c>
      <c r="B221" s="4">
        <f>'Data - SKU Detail'!B210</f>
        <v>9</v>
      </c>
      <c r="C221" s="4">
        <f>'Data - SKU Detail'!C210</f>
        <v>303.16000000000003</v>
      </c>
      <c r="D221" s="4">
        <f>'Data - SKU Detail'!F210</f>
        <v>15811</v>
      </c>
      <c r="E221" s="4">
        <f t="shared" si="27"/>
        <v>60.632000000000005</v>
      </c>
      <c r="F221" s="4">
        <f t="shared" si="28"/>
        <v>625.42372494997937</v>
      </c>
      <c r="G221" s="4">
        <f>'Data - SKU Detail'!G210</f>
        <v>11.2121689658716</v>
      </c>
      <c r="H221" s="4">
        <f>'Data - SKU Detail'!H210</f>
        <v>7.8842518609653096</v>
      </c>
      <c r="I221" s="4">
        <f t="shared" si="29"/>
        <v>48.793942569984345</v>
      </c>
      <c r="J221" s="4">
        <f t="shared" si="30"/>
        <v>34.311267844983625</v>
      </c>
      <c r="K221" s="4">
        <f t="shared" si="31"/>
        <v>361.50580504497401</v>
      </c>
      <c r="L221" s="4">
        <f t="shared" si="32"/>
        <v>347.02313031997329</v>
      </c>
      <c r="M221" s="4">
        <f t="shared" si="33"/>
        <v>21918.819971486864</v>
      </c>
      <c r="N221" s="4">
        <f t="shared" si="34"/>
        <v>21040.706437560621</v>
      </c>
      <c r="O221" s="4">
        <f t="shared" si="35"/>
        <v>878.11353392624369</v>
      </c>
    </row>
    <row r="222" spans="1:15" x14ac:dyDescent="0.25">
      <c r="A222" s="4">
        <f>'Data - SKU Detail'!A211</f>
        <v>5</v>
      </c>
      <c r="B222" s="4">
        <f>'Data - SKU Detail'!B211</f>
        <v>10</v>
      </c>
      <c r="C222" s="4">
        <f>'Data - SKU Detail'!C211</f>
        <v>93.02</v>
      </c>
      <c r="D222" s="4">
        <f>'Data - SKU Detail'!F211</f>
        <v>22650</v>
      </c>
      <c r="E222" s="4">
        <f t="shared" si="27"/>
        <v>18.603999999999999</v>
      </c>
      <c r="F222" s="4">
        <f t="shared" si="28"/>
        <v>1351.3771374808255</v>
      </c>
      <c r="G222" s="4">
        <f>'Data - SKU Detail'!G211</f>
        <v>12.7952190366516</v>
      </c>
      <c r="H222" s="4">
        <f>'Data - SKU Detail'!H211</f>
        <v>8.1902136483389096</v>
      </c>
      <c r="I222" s="4">
        <f t="shared" si="29"/>
        <v>55.68317644383761</v>
      </c>
      <c r="J222" s="4">
        <f t="shared" si="30"/>
        <v>35.642774882307037</v>
      </c>
      <c r="K222" s="4">
        <f t="shared" si="31"/>
        <v>731.37174518425036</v>
      </c>
      <c r="L222" s="4">
        <f t="shared" si="32"/>
        <v>711.33134362271971</v>
      </c>
      <c r="M222" s="4">
        <f t="shared" si="33"/>
        <v>13606.439947407793</v>
      </c>
      <c r="N222" s="4">
        <f t="shared" si="34"/>
        <v>13233.608316757078</v>
      </c>
      <c r="O222" s="4">
        <f t="shared" si="35"/>
        <v>372.83163065071494</v>
      </c>
    </row>
    <row r="223" spans="1:15" x14ac:dyDescent="0.25">
      <c r="A223" s="4">
        <f>'Data - SKU Detail'!A212</f>
        <v>5</v>
      </c>
      <c r="B223" s="4">
        <f>'Data - SKU Detail'!B212</f>
        <v>11</v>
      </c>
      <c r="C223" s="4">
        <f>'Data - SKU Detail'!C212</f>
        <v>101.21</v>
      </c>
      <c r="D223" s="4">
        <f>'Data - SKU Detail'!F212</f>
        <v>21665</v>
      </c>
      <c r="E223" s="4">
        <f t="shared" si="27"/>
        <v>20.242000000000001</v>
      </c>
      <c r="F223" s="4">
        <f t="shared" si="28"/>
        <v>1267.0631658673519</v>
      </c>
      <c r="G223" s="4">
        <f>'Data - SKU Detail'!G212</f>
        <v>12.212850883723901</v>
      </c>
      <c r="H223" s="4">
        <f>'Data - SKU Detail'!H212</f>
        <v>7.8542406633011002</v>
      </c>
      <c r="I223" s="4">
        <f t="shared" si="29"/>
        <v>53.148783830326629</v>
      </c>
      <c r="J223" s="4">
        <f t="shared" si="30"/>
        <v>34.180662904963434</v>
      </c>
      <c r="K223" s="4">
        <f t="shared" si="31"/>
        <v>686.68036676400254</v>
      </c>
      <c r="L223" s="4">
        <f t="shared" si="32"/>
        <v>667.71224583863943</v>
      </c>
      <c r="M223" s="4">
        <f t="shared" si="33"/>
        <v>13899.78398403694</v>
      </c>
      <c r="N223" s="4">
        <f t="shared" si="34"/>
        <v>13515.83128026574</v>
      </c>
      <c r="O223" s="4">
        <f t="shared" si="35"/>
        <v>383.95270377119959</v>
      </c>
    </row>
    <row r="224" spans="1:15" x14ac:dyDescent="0.25">
      <c r="A224" s="4">
        <f>'Data - SKU Detail'!A213</f>
        <v>5</v>
      </c>
      <c r="B224" s="4">
        <f>'Data - SKU Detail'!B213</f>
        <v>12</v>
      </c>
      <c r="C224" s="4">
        <f>'Data - SKU Detail'!C213</f>
        <v>110.12</v>
      </c>
      <c r="D224" s="4">
        <f>'Data - SKU Detail'!F213</f>
        <v>21640</v>
      </c>
      <c r="E224" s="4">
        <f t="shared" si="27"/>
        <v>22.024000000000001</v>
      </c>
      <c r="F224" s="4">
        <f t="shared" si="28"/>
        <v>1214.0208864253857</v>
      </c>
      <c r="G224" s="4">
        <f>'Data - SKU Detail'!G213</f>
        <v>10.961579953149</v>
      </c>
      <c r="H224" s="4">
        <f>'Data - SKU Detail'!H213</f>
        <v>6.9909615419632702</v>
      </c>
      <c r="I224" s="4">
        <f t="shared" si="29"/>
        <v>47.70341085103918</v>
      </c>
      <c r="J224" s="4">
        <f t="shared" si="30"/>
        <v>30.423781252836985</v>
      </c>
      <c r="K224" s="4">
        <f t="shared" si="31"/>
        <v>654.71385406373201</v>
      </c>
      <c r="L224" s="4">
        <f t="shared" si="32"/>
        <v>637.43422446552984</v>
      </c>
      <c r="M224" s="4">
        <f t="shared" si="33"/>
        <v>14419.417921899634</v>
      </c>
      <c r="N224" s="4">
        <f t="shared" si="34"/>
        <v>14038.85135962883</v>
      </c>
      <c r="O224" s="4">
        <f t="shared" si="35"/>
        <v>380.56656227080384</v>
      </c>
    </row>
    <row r="225" spans="1:15" x14ac:dyDescent="0.25">
      <c r="A225" s="4">
        <f>'Data - SKU Detail'!A214</f>
        <v>5</v>
      </c>
      <c r="B225" s="4">
        <f>'Data - SKU Detail'!B214</f>
        <v>13</v>
      </c>
      <c r="C225" s="4">
        <f>'Data - SKU Detail'!C214</f>
        <v>47.35</v>
      </c>
      <c r="D225" s="4">
        <f>'Data - SKU Detail'!F214</f>
        <v>26149</v>
      </c>
      <c r="E225" s="4">
        <f t="shared" si="27"/>
        <v>9.4700000000000006</v>
      </c>
      <c r="F225" s="4">
        <f t="shared" si="28"/>
        <v>2035.1582395946693</v>
      </c>
      <c r="G225" s="4">
        <f>'Data - SKU Detail'!G214</f>
        <v>16.336387853013601</v>
      </c>
      <c r="H225" s="4">
        <f>'Data - SKU Detail'!H214</f>
        <v>9.8370034896078398</v>
      </c>
      <c r="I225" s="4">
        <f t="shared" si="29"/>
        <v>71.093895670610777</v>
      </c>
      <c r="J225" s="4">
        <f t="shared" si="30"/>
        <v>42.809396183171756</v>
      </c>
      <c r="K225" s="4">
        <f t="shared" si="31"/>
        <v>1088.6730154679453</v>
      </c>
      <c r="L225" s="4">
        <f t="shared" si="32"/>
        <v>1060.3885159805063</v>
      </c>
      <c r="M225" s="4">
        <f t="shared" si="33"/>
        <v>10309.733456481443</v>
      </c>
      <c r="N225" s="4">
        <f t="shared" si="34"/>
        <v>10041.879246335395</v>
      </c>
      <c r="O225" s="4">
        <f t="shared" si="35"/>
        <v>267.85421014604799</v>
      </c>
    </row>
    <row r="226" spans="1:15" x14ac:dyDescent="0.25">
      <c r="A226" s="4">
        <f>'Data - SKU Detail'!A215</f>
        <v>5</v>
      </c>
      <c r="B226" s="4">
        <f>'Data - SKU Detail'!B215</f>
        <v>14</v>
      </c>
      <c r="C226" s="4">
        <f>'Data - SKU Detail'!C215</f>
        <v>182.71</v>
      </c>
      <c r="D226" s="4">
        <f>'Data - SKU Detail'!F215</f>
        <v>18118</v>
      </c>
      <c r="E226" s="4">
        <f t="shared" si="27"/>
        <v>36.542000000000002</v>
      </c>
      <c r="F226" s="4">
        <f t="shared" si="28"/>
        <v>862.39176455940287</v>
      </c>
      <c r="G226" s="4">
        <f>'Data - SKU Detail'!G215</f>
        <v>11.7706371006169</v>
      </c>
      <c r="H226" s="4">
        <f>'Data - SKU Detail'!H215</f>
        <v>7.4680897733627898</v>
      </c>
      <c r="I226" s="4">
        <f t="shared" si="29"/>
        <v>51.224325324371435</v>
      </c>
      <c r="J226" s="4">
        <f t="shared" si="30"/>
        <v>32.500183025972099</v>
      </c>
      <c r="K226" s="4">
        <f t="shared" si="31"/>
        <v>482.42020760407286</v>
      </c>
      <c r="L226" s="4">
        <f t="shared" si="32"/>
        <v>463.69606530567353</v>
      </c>
      <c r="M226" s="4">
        <f t="shared" si="33"/>
        <v>17628.59922626803</v>
      </c>
      <c r="N226" s="4">
        <f t="shared" si="34"/>
        <v>16944.381618399922</v>
      </c>
      <c r="O226" s="4">
        <f t="shared" si="35"/>
        <v>684.21760786810773</v>
      </c>
    </row>
    <row r="227" spans="1:15" x14ac:dyDescent="0.25">
      <c r="A227" s="4">
        <f>'Data - SKU Detail'!A216</f>
        <v>5</v>
      </c>
      <c r="B227" s="4">
        <f>'Data - SKU Detail'!B216</f>
        <v>15</v>
      </c>
      <c r="C227" s="4">
        <f>'Data - SKU Detail'!C216</f>
        <v>40</v>
      </c>
      <c r="D227" s="4">
        <f>'Data - SKU Detail'!F216</f>
        <v>27169</v>
      </c>
      <c r="E227" s="4">
        <f t="shared" si="27"/>
        <v>8</v>
      </c>
      <c r="F227" s="4">
        <f t="shared" si="28"/>
        <v>2257.0306821131167</v>
      </c>
      <c r="G227" s="4">
        <f>'Data - SKU Detail'!G216</f>
        <v>15.353779118051801</v>
      </c>
      <c r="H227" s="4">
        <f>'Data - SKU Detail'!H216</f>
        <v>9.41248945311842</v>
      </c>
      <c r="I227" s="4">
        <f t="shared" si="29"/>
        <v>66.817706618480855</v>
      </c>
      <c r="J227" s="4">
        <f t="shared" si="30"/>
        <v>40.961964737956578</v>
      </c>
      <c r="K227" s="4">
        <f t="shared" si="31"/>
        <v>1195.3330476750391</v>
      </c>
      <c r="L227" s="4">
        <f t="shared" si="32"/>
        <v>1169.4773057945149</v>
      </c>
      <c r="M227" s="4">
        <f t="shared" si="33"/>
        <v>9562.6643814003128</v>
      </c>
      <c r="N227" s="4">
        <f t="shared" si="34"/>
        <v>9355.8184463561192</v>
      </c>
      <c r="O227" s="4">
        <f t="shared" si="35"/>
        <v>206.84593504419354</v>
      </c>
    </row>
    <row r="228" spans="1:15" x14ac:dyDescent="0.25">
      <c r="A228" s="4">
        <f>'Data - SKU Detail'!A217</f>
        <v>5</v>
      </c>
      <c r="B228" s="4">
        <f>'Data - SKU Detail'!B217</f>
        <v>16</v>
      </c>
      <c r="C228" s="4">
        <f>'Data - SKU Detail'!C217</f>
        <v>1506.73</v>
      </c>
      <c r="D228" s="4">
        <f>'Data - SKU Detail'!F217</f>
        <v>7875</v>
      </c>
      <c r="E228" s="4">
        <f t="shared" si="27"/>
        <v>301.346</v>
      </c>
      <c r="F228" s="4">
        <f t="shared" si="28"/>
        <v>197.98769301496216</v>
      </c>
      <c r="G228" s="4">
        <f>'Data - SKU Detail'!G217</f>
        <v>6.4041594671470996</v>
      </c>
      <c r="H228" s="4">
        <f>'Data - SKU Detail'!H217</f>
        <v>4.5361585819569701</v>
      </c>
      <c r="I228" s="4">
        <f t="shared" si="29"/>
        <v>27.870092771537678</v>
      </c>
      <c r="J228" s="4">
        <f t="shared" si="30"/>
        <v>19.740788959751818</v>
      </c>
      <c r="K228" s="4">
        <f t="shared" si="31"/>
        <v>126.86393927901875</v>
      </c>
      <c r="L228" s="4">
        <f t="shared" si="32"/>
        <v>118.73463546723289</v>
      </c>
      <c r="M228" s="4">
        <f t="shared" si="33"/>
        <v>38229.940645975184</v>
      </c>
      <c r="N228" s="4">
        <f t="shared" si="34"/>
        <v>35780.207459508762</v>
      </c>
      <c r="O228" s="4">
        <f t="shared" si="35"/>
        <v>2449.7331864664229</v>
      </c>
    </row>
    <row r="229" spans="1:15" x14ac:dyDescent="0.25">
      <c r="A229" s="4">
        <f>'Data - SKU Detail'!A218</f>
        <v>5</v>
      </c>
      <c r="B229" s="4">
        <f>'Data - SKU Detail'!B218</f>
        <v>17</v>
      </c>
      <c r="C229" s="4">
        <f>'Data - SKU Detail'!C218</f>
        <v>834.61</v>
      </c>
      <c r="D229" s="4">
        <f>'Data - SKU Detail'!F218</f>
        <v>10238</v>
      </c>
      <c r="E229" s="4">
        <f t="shared" si="27"/>
        <v>166.92200000000003</v>
      </c>
      <c r="F229" s="4">
        <f t="shared" si="28"/>
        <v>303.31675585876008</v>
      </c>
      <c r="G229" s="4">
        <f>'Data - SKU Detail'!G218</f>
        <v>8.7859492896992002</v>
      </c>
      <c r="H229" s="4">
        <f>'Data - SKU Detail'!H218</f>
        <v>6.1026463864841203</v>
      </c>
      <c r="I229" s="4">
        <f t="shared" si="29"/>
        <v>38.235341116361035</v>
      </c>
      <c r="J229" s="4">
        <f t="shared" si="30"/>
        <v>26.557945943680377</v>
      </c>
      <c r="K229" s="4">
        <f t="shared" si="31"/>
        <v>189.89371904574108</v>
      </c>
      <c r="L229" s="4">
        <f t="shared" si="32"/>
        <v>178.21632387306042</v>
      </c>
      <c r="M229" s="4">
        <f t="shared" si="33"/>
        <v>31697.439370553198</v>
      </c>
      <c r="N229" s="4">
        <f t="shared" si="34"/>
        <v>29748.225213538997</v>
      </c>
      <c r="O229" s="4">
        <f t="shared" si="35"/>
        <v>1949.2141570142012</v>
      </c>
    </row>
    <row r="230" spans="1:15" x14ac:dyDescent="0.25">
      <c r="A230" s="4">
        <f>'Data - SKU Detail'!A219</f>
        <v>5</v>
      </c>
      <c r="B230" s="4">
        <f>'Data - SKU Detail'!B219</f>
        <v>18</v>
      </c>
      <c r="C230" s="4">
        <f>'Data - SKU Detail'!C219</f>
        <v>51.52</v>
      </c>
      <c r="D230" s="4">
        <f>'Data - SKU Detail'!F219</f>
        <v>26191</v>
      </c>
      <c r="E230" s="4">
        <f t="shared" si="27"/>
        <v>10.304000000000002</v>
      </c>
      <c r="F230" s="4">
        <f t="shared" si="28"/>
        <v>1952.6245476853971</v>
      </c>
      <c r="G230" s="4">
        <f>'Data - SKU Detail'!G219</f>
        <v>11.662989432541901</v>
      </c>
      <c r="H230" s="4">
        <f>'Data - SKU Detail'!H219</f>
        <v>8.6646330871950603</v>
      </c>
      <c r="I230" s="4">
        <f t="shared" si="29"/>
        <v>50.75585627526663</v>
      </c>
      <c r="J230" s="4">
        <f t="shared" si="30"/>
        <v>37.7073883325764</v>
      </c>
      <c r="K230" s="4">
        <f t="shared" si="31"/>
        <v>1027.0681301179652</v>
      </c>
      <c r="L230" s="4">
        <f t="shared" si="32"/>
        <v>1014.019662175275</v>
      </c>
      <c r="M230" s="4">
        <f t="shared" si="33"/>
        <v>10582.910012735516</v>
      </c>
      <c r="N230" s="4">
        <f t="shared" si="34"/>
        <v>10448.458599054036</v>
      </c>
      <c r="O230" s="4">
        <f t="shared" si="35"/>
        <v>134.45141368147961</v>
      </c>
    </row>
    <row r="231" spans="1:15" x14ac:dyDescent="0.25">
      <c r="A231" s="4">
        <f>'Data - SKU Detail'!A220</f>
        <v>5</v>
      </c>
      <c r="B231" s="4">
        <f>'Data - SKU Detail'!B220</f>
        <v>19</v>
      </c>
      <c r="C231" s="4">
        <f>'Data - SKU Detail'!C220</f>
        <v>547.29999999999995</v>
      </c>
      <c r="D231" s="4">
        <f>'Data - SKU Detail'!F220</f>
        <v>12730</v>
      </c>
      <c r="E231" s="4">
        <f t="shared" si="27"/>
        <v>109.46</v>
      </c>
      <c r="F231" s="4">
        <f t="shared" si="28"/>
        <v>417.66887205065427</v>
      </c>
      <c r="G231" s="4">
        <f>'Data - SKU Detail'!G220</f>
        <v>7.2721562859512696</v>
      </c>
      <c r="H231" s="4">
        <f>'Data - SKU Detail'!H220</f>
        <v>4.8413563461200804</v>
      </c>
      <c r="I231" s="4">
        <f t="shared" si="29"/>
        <v>31.647505246909464</v>
      </c>
      <c r="J231" s="4">
        <f t="shared" si="30"/>
        <v>21.06897106460514</v>
      </c>
      <c r="K231" s="4">
        <f t="shared" si="31"/>
        <v>240.48194127223661</v>
      </c>
      <c r="L231" s="4">
        <f t="shared" si="32"/>
        <v>229.90340708993227</v>
      </c>
      <c r="M231" s="4">
        <f t="shared" si="33"/>
        <v>26323.153291659019</v>
      </c>
      <c r="N231" s="4">
        <f t="shared" si="34"/>
        <v>25165.226940063985</v>
      </c>
      <c r="O231" s="4">
        <f t="shared" si="35"/>
        <v>1157.9263515950333</v>
      </c>
    </row>
    <row r="232" spans="1:15" x14ac:dyDescent="0.25">
      <c r="A232" s="4">
        <f>'Data - SKU Detail'!A221</f>
        <v>5</v>
      </c>
      <c r="B232" s="4">
        <f>'Data - SKU Detail'!B221</f>
        <v>20</v>
      </c>
      <c r="C232" s="4">
        <f>'Data - SKU Detail'!C221</f>
        <v>424.89</v>
      </c>
      <c r="D232" s="4">
        <f>'Data - SKU Detail'!F221</f>
        <v>14617</v>
      </c>
      <c r="E232" s="4">
        <f t="shared" si="27"/>
        <v>84.978000000000009</v>
      </c>
      <c r="F232" s="4">
        <f t="shared" si="28"/>
        <v>507.95062641554478</v>
      </c>
      <c r="G232" s="4">
        <f>'Data - SKU Detail'!G221</f>
        <v>10.7290557535432</v>
      </c>
      <c r="H232" s="4">
        <f>'Data - SKU Detail'!H221</f>
        <v>7.0761429965743501</v>
      </c>
      <c r="I232" s="4">
        <f t="shared" si="29"/>
        <v>46.691494916108837</v>
      </c>
      <c r="J232" s="4">
        <f t="shared" si="30"/>
        <v>30.794480179777182</v>
      </c>
      <c r="K232" s="4">
        <f t="shared" si="31"/>
        <v>300.6668081238812</v>
      </c>
      <c r="L232" s="4">
        <f t="shared" si="32"/>
        <v>284.76979338754956</v>
      </c>
      <c r="M232" s="4">
        <f t="shared" si="33"/>
        <v>25550.064020751179</v>
      </c>
      <c r="N232" s="4">
        <f t="shared" si="34"/>
        <v>24199.167502487187</v>
      </c>
      <c r="O232" s="4">
        <f t="shared" si="35"/>
        <v>1350.8965182639913</v>
      </c>
    </row>
    <row r="233" spans="1:15" x14ac:dyDescent="0.25">
      <c r="A233" s="4">
        <f>'Data - SKU Detail'!A222</f>
        <v>5</v>
      </c>
      <c r="B233" s="4">
        <f>'Data - SKU Detail'!B222</f>
        <v>21</v>
      </c>
      <c r="C233" s="4">
        <f>'Data - SKU Detail'!C222</f>
        <v>647.92999999999995</v>
      </c>
      <c r="D233" s="4">
        <f>'Data - SKU Detail'!F222</f>
        <v>12452</v>
      </c>
      <c r="E233" s="4">
        <f t="shared" si="27"/>
        <v>129.58599999999998</v>
      </c>
      <c r="F233" s="4">
        <f t="shared" si="28"/>
        <v>379.65239444901238</v>
      </c>
      <c r="G233" s="4">
        <f>'Data - SKU Detail'!G222</f>
        <v>7.9776323712812101</v>
      </c>
      <c r="H233" s="4">
        <f>'Data - SKU Detail'!H222</f>
        <v>5.7946801826538099</v>
      </c>
      <c r="I233" s="4">
        <f t="shared" si="29"/>
        <v>34.717648026318656</v>
      </c>
      <c r="J233" s="4">
        <f t="shared" si="30"/>
        <v>25.217715939215392</v>
      </c>
      <c r="K233" s="4">
        <f t="shared" si="31"/>
        <v>224.54384525082486</v>
      </c>
      <c r="L233" s="4">
        <f t="shared" si="32"/>
        <v>215.04391316372158</v>
      </c>
      <c r="M233" s="4">
        <f t="shared" si="33"/>
        <v>29097.738730673387</v>
      </c>
      <c r="N233" s="4">
        <f t="shared" si="34"/>
        <v>27866.680531234022</v>
      </c>
      <c r="O233" s="4">
        <f t="shared" si="35"/>
        <v>1231.0581994393651</v>
      </c>
    </row>
    <row r="234" spans="1:15" x14ac:dyDescent="0.25">
      <c r="A234" s="4">
        <f>'Data - SKU Detail'!A223</f>
        <v>5</v>
      </c>
      <c r="B234" s="4">
        <f>'Data - SKU Detail'!B223</f>
        <v>22</v>
      </c>
      <c r="C234" s="4">
        <f>'Data - SKU Detail'!C223</f>
        <v>72.209999999999994</v>
      </c>
      <c r="D234" s="4">
        <f>'Data - SKU Detail'!F223</f>
        <v>24807</v>
      </c>
      <c r="E234" s="4">
        <f t="shared" si="27"/>
        <v>14.442</v>
      </c>
      <c r="F234" s="4">
        <f t="shared" si="28"/>
        <v>1605.1627860091635</v>
      </c>
      <c r="G234" s="4">
        <f>'Data - SKU Detail'!G223</f>
        <v>11.740708782429101</v>
      </c>
      <c r="H234" s="4">
        <f>'Data - SKU Detail'!H223</f>
        <v>7.5427374275785697</v>
      </c>
      <c r="I234" s="4">
        <f t="shared" si="29"/>
        <v>51.094081065359937</v>
      </c>
      <c r="J234" s="4">
        <f t="shared" si="30"/>
        <v>32.825040184642802</v>
      </c>
      <c r="K234" s="4">
        <f t="shared" si="31"/>
        <v>853.67547406994163</v>
      </c>
      <c r="L234" s="4">
        <f t="shared" si="32"/>
        <v>835.40643318922457</v>
      </c>
      <c r="M234" s="4">
        <f t="shared" si="33"/>
        <v>12328.781196518097</v>
      </c>
      <c r="N234" s="4">
        <f t="shared" si="34"/>
        <v>12064.939708118782</v>
      </c>
      <c r="O234" s="4">
        <f t="shared" si="35"/>
        <v>263.84148839931549</v>
      </c>
    </row>
    <row r="235" spans="1:15" x14ac:dyDescent="0.25">
      <c r="A235" s="4">
        <f>'Data - SKU Detail'!A224</f>
        <v>5</v>
      </c>
      <c r="B235" s="4">
        <f>'Data - SKU Detail'!B224</f>
        <v>23</v>
      </c>
      <c r="C235" s="4">
        <f>'Data - SKU Detail'!C224</f>
        <v>1075.06</v>
      </c>
      <c r="D235" s="4">
        <f>'Data - SKU Detail'!F224</f>
        <v>9096</v>
      </c>
      <c r="E235" s="4">
        <f t="shared" si="27"/>
        <v>215.012</v>
      </c>
      <c r="F235" s="4">
        <f t="shared" si="28"/>
        <v>251.90657660035708</v>
      </c>
      <c r="G235" s="4">
        <f>'Data - SKU Detail'!G224</f>
        <v>6.96969756771266</v>
      </c>
      <c r="H235" s="4">
        <f>'Data - SKU Detail'!H224</f>
        <v>5.1469072049809901</v>
      </c>
      <c r="I235" s="4">
        <f t="shared" si="29"/>
        <v>30.331243123813771</v>
      </c>
      <c r="J235" s="4">
        <f t="shared" si="30"/>
        <v>22.398689792966245</v>
      </c>
      <c r="K235" s="4">
        <f t="shared" si="31"/>
        <v>156.28453142399232</v>
      </c>
      <c r="L235" s="4">
        <f t="shared" si="32"/>
        <v>148.35197809314479</v>
      </c>
      <c r="M235" s="4">
        <f t="shared" si="33"/>
        <v>33603.049670535438</v>
      </c>
      <c r="N235" s="4">
        <f t="shared" si="34"/>
        <v>31897.455513763249</v>
      </c>
      <c r="O235" s="4">
        <f t="shared" si="35"/>
        <v>1705.5941567721893</v>
      </c>
    </row>
    <row r="236" spans="1:15" x14ac:dyDescent="0.25">
      <c r="A236" s="4">
        <f>'Data - SKU Detail'!A225</f>
        <v>5</v>
      </c>
      <c r="B236" s="4">
        <f>'Data - SKU Detail'!B225</f>
        <v>24</v>
      </c>
      <c r="C236" s="4">
        <f>'Data - SKU Detail'!C225</f>
        <v>141.85</v>
      </c>
      <c r="D236" s="4">
        <f>'Data - SKU Detail'!F225</f>
        <v>20369</v>
      </c>
      <c r="E236" s="4">
        <f t="shared" si="27"/>
        <v>28.37</v>
      </c>
      <c r="F236" s="4">
        <f t="shared" si="28"/>
        <v>1037.7692922721701</v>
      </c>
      <c r="G236" s="4">
        <f>'Data - SKU Detail'!G225</f>
        <v>12.789275809388901</v>
      </c>
      <c r="H236" s="4">
        <f>'Data - SKU Detail'!H225</f>
        <v>8.4396189812588407</v>
      </c>
      <c r="I236" s="4">
        <f t="shared" si="29"/>
        <v>55.657312269776448</v>
      </c>
      <c r="J236" s="4">
        <f t="shared" si="30"/>
        <v>36.72815537632075</v>
      </c>
      <c r="K236" s="4">
        <f t="shared" si="31"/>
        <v>574.54195840586146</v>
      </c>
      <c r="L236" s="4">
        <f t="shared" si="32"/>
        <v>555.61280151240578</v>
      </c>
      <c r="M236" s="4">
        <f t="shared" si="33"/>
        <v>16299.75535997429</v>
      </c>
      <c r="N236" s="4">
        <f t="shared" si="34"/>
        <v>15762.735178906953</v>
      </c>
      <c r="O236" s="4">
        <f t="shared" si="35"/>
        <v>537.02018106733703</v>
      </c>
    </row>
    <row r="237" spans="1:15" x14ac:dyDescent="0.25">
      <c r="A237" s="4">
        <f>'Data - SKU Detail'!A226</f>
        <v>5</v>
      </c>
      <c r="B237" s="4">
        <f>'Data - SKU Detail'!B226</f>
        <v>25</v>
      </c>
      <c r="C237" s="4">
        <f>'Data - SKU Detail'!C226</f>
        <v>56.06</v>
      </c>
      <c r="D237" s="4">
        <f>'Data - SKU Detail'!F226</f>
        <v>25313</v>
      </c>
      <c r="E237" s="4">
        <f t="shared" si="27"/>
        <v>11.212000000000002</v>
      </c>
      <c r="F237" s="4">
        <f t="shared" si="28"/>
        <v>1840.2460514261431</v>
      </c>
      <c r="G237" s="4">
        <f>'Data - SKU Detail'!G226</f>
        <v>13.9771501469467</v>
      </c>
      <c r="H237" s="4">
        <f>'Data - SKU Detail'!H226</f>
        <v>8.9716134399729803</v>
      </c>
      <c r="I237" s="4">
        <f t="shared" si="29"/>
        <v>60.826791287045943</v>
      </c>
      <c r="J237" s="4">
        <f t="shared" si="30"/>
        <v>39.043328037833504</v>
      </c>
      <c r="K237" s="4">
        <f t="shared" si="31"/>
        <v>980.94981700011749</v>
      </c>
      <c r="L237" s="4">
        <f t="shared" si="32"/>
        <v>959.16635375090505</v>
      </c>
      <c r="M237" s="4">
        <f t="shared" si="33"/>
        <v>10998.409348205319</v>
      </c>
      <c r="N237" s="4">
        <f t="shared" si="34"/>
        <v>10754.173158255149</v>
      </c>
      <c r="O237" s="4">
        <f t="shared" si="35"/>
        <v>244.23618995017023</v>
      </c>
    </row>
    <row r="238" spans="1:15" x14ac:dyDescent="0.25">
      <c r="A238" s="4">
        <f>'Data - SKU Detail'!A227</f>
        <v>5</v>
      </c>
      <c r="B238" s="4">
        <f>'Data - SKU Detail'!B227</f>
        <v>26</v>
      </c>
      <c r="C238" s="4">
        <f>'Data - SKU Detail'!C227</f>
        <v>390.5</v>
      </c>
      <c r="D238" s="4">
        <f>'Data - SKU Detail'!F227</f>
        <v>14824</v>
      </c>
      <c r="E238" s="4">
        <f t="shared" si="27"/>
        <v>78.100000000000009</v>
      </c>
      <c r="F238" s="4">
        <f t="shared" si="28"/>
        <v>533.58402132232118</v>
      </c>
      <c r="G238" s="4">
        <f>'Data - SKU Detail'!G227</f>
        <v>10.308059552328601</v>
      </c>
      <c r="H238" s="4">
        <f>'Data - SKU Detail'!H227</f>
        <v>6.9348341232444</v>
      </c>
      <c r="I238" s="4">
        <f t="shared" si="29"/>
        <v>44.859372645496059</v>
      </c>
      <c r="J238" s="4">
        <f t="shared" si="30"/>
        <v>30.179521818832182</v>
      </c>
      <c r="K238" s="4">
        <f t="shared" si="31"/>
        <v>311.65138330665667</v>
      </c>
      <c r="L238" s="4">
        <f t="shared" si="32"/>
        <v>296.97153247999279</v>
      </c>
      <c r="M238" s="4">
        <f t="shared" si="33"/>
        <v>24339.973036249889</v>
      </c>
      <c r="N238" s="4">
        <f t="shared" si="34"/>
        <v>23193.476686687438</v>
      </c>
      <c r="O238" s="4">
        <f t="shared" si="35"/>
        <v>1146.4963495624506</v>
      </c>
    </row>
    <row r="239" spans="1:15" x14ac:dyDescent="0.25">
      <c r="A239" s="4">
        <f>'Data - SKU Detail'!A228</f>
        <v>5</v>
      </c>
      <c r="B239" s="4">
        <f>'Data - SKU Detail'!B228</f>
        <v>27</v>
      </c>
      <c r="C239" s="4">
        <f>'Data - SKU Detail'!C228</f>
        <v>1639.41</v>
      </c>
      <c r="D239" s="4">
        <f>'Data - SKU Detail'!F228</f>
        <v>6902</v>
      </c>
      <c r="E239" s="4">
        <f t="shared" si="27"/>
        <v>327.88200000000006</v>
      </c>
      <c r="F239" s="4">
        <f t="shared" si="28"/>
        <v>177.69463646128582</v>
      </c>
      <c r="G239" s="4">
        <f>'Data - SKU Detail'!G228</f>
        <v>7.0871562058754396</v>
      </c>
      <c r="H239" s="4">
        <f>'Data - SKU Detail'!H228</f>
        <v>4.67737231961158</v>
      </c>
      <c r="I239" s="4">
        <f t="shared" si="29"/>
        <v>30.842408275026575</v>
      </c>
      <c r="J239" s="4">
        <f t="shared" si="30"/>
        <v>20.355333302259076</v>
      </c>
      <c r="K239" s="4">
        <f t="shared" si="31"/>
        <v>119.68972650566948</v>
      </c>
      <c r="L239" s="4">
        <f t="shared" si="32"/>
        <v>109.202651532902</v>
      </c>
      <c r="M239" s="4">
        <f t="shared" si="33"/>
        <v>39244.106906131929</v>
      </c>
      <c r="N239" s="4">
        <f t="shared" si="34"/>
        <v>35805.583789910976</v>
      </c>
      <c r="O239" s="4">
        <f t="shared" si="35"/>
        <v>3438.5231162209529</v>
      </c>
    </row>
    <row r="240" spans="1:15" x14ac:dyDescent="0.25">
      <c r="A240" s="4">
        <f>'Data - SKU Detail'!A229</f>
        <v>5</v>
      </c>
      <c r="B240" s="4">
        <f>'Data - SKU Detail'!B229</f>
        <v>28</v>
      </c>
      <c r="C240" s="4">
        <f>'Data - SKU Detail'!C229</f>
        <v>43.52</v>
      </c>
      <c r="D240" s="4">
        <f>'Data - SKU Detail'!F229</f>
        <v>27327</v>
      </c>
      <c r="E240" s="4">
        <f t="shared" si="27"/>
        <v>8.7040000000000006</v>
      </c>
      <c r="F240" s="4">
        <f t="shared" si="28"/>
        <v>2170.1120913378159</v>
      </c>
      <c r="G240" s="4">
        <f>'Data - SKU Detail'!G229</f>
        <v>14.5182719281676</v>
      </c>
      <c r="H240" s="4">
        <f>'Data - SKU Detail'!H229</f>
        <v>8.9012829401902298</v>
      </c>
      <c r="I240" s="4">
        <f t="shared" si="29"/>
        <v>63.181684902779793</v>
      </c>
      <c r="J240" s="4">
        <f t="shared" si="30"/>
        <v>38.737258589739788</v>
      </c>
      <c r="K240" s="4">
        <f t="shared" si="31"/>
        <v>1148.2377305716877</v>
      </c>
      <c r="L240" s="4">
        <f t="shared" si="32"/>
        <v>1123.7933042586478</v>
      </c>
      <c r="M240" s="4">
        <f t="shared" si="33"/>
        <v>9994.2612068959716</v>
      </c>
      <c r="N240" s="4">
        <f t="shared" si="34"/>
        <v>9781.496920267271</v>
      </c>
      <c r="O240" s="4">
        <f t="shared" si="35"/>
        <v>212.76428662870057</v>
      </c>
    </row>
    <row r="241" spans="1:15" x14ac:dyDescent="0.25">
      <c r="A241" s="4">
        <f>'Data - SKU Detail'!A230</f>
        <v>5</v>
      </c>
      <c r="B241" s="4">
        <f>'Data - SKU Detail'!B230</f>
        <v>29</v>
      </c>
      <c r="C241" s="4">
        <f>'Data - SKU Detail'!C230</f>
        <v>119.82</v>
      </c>
      <c r="D241" s="4">
        <f>'Data - SKU Detail'!F230</f>
        <v>21564</v>
      </c>
      <c r="E241" s="4">
        <f t="shared" si="27"/>
        <v>23.963999999999999</v>
      </c>
      <c r="F241" s="4">
        <f t="shared" si="28"/>
        <v>1161.798029776686</v>
      </c>
      <c r="G241" s="4">
        <f>'Data - SKU Detail'!G230</f>
        <v>11.1953082111937</v>
      </c>
      <c r="H241" s="4">
        <f>'Data - SKU Detail'!H230</f>
        <v>8.3570311053103801</v>
      </c>
      <c r="I241" s="4">
        <f t="shared" si="29"/>
        <v>48.720566696150811</v>
      </c>
      <c r="J241" s="4">
        <f t="shared" si="30"/>
        <v>36.368743375995713</v>
      </c>
      <c r="K241" s="4">
        <f t="shared" si="31"/>
        <v>629.61958158449386</v>
      </c>
      <c r="L241" s="4">
        <f t="shared" si="32"/>
        <v>617.26775826433868</v>
      </c>
      <c r="M241" s="4">
        <f t="shared" si="33"/>
        <v>15088.20365309081</v>
      </c>
      <c r="N241" s="4">
        <f t="shared" si="34"/>
        <v>14792.204559046611</v>
      </c>
      <c r="O241" s="4">
        <f t="shared" si="35"/>
        <v>295.9990940441985</v>
      </c>
    </row>
    <row r="242" spans="1:15" x14ac:dyDescent="0.25">
      <c r="A242" s="4">
        <f>'Data - SKU Detail'!A231</f>
        <v>5</v>
      </c>
      <c r="B242" s="4">
        <f>'Data - SKU Detail'!B231</f>
        <v>30</v>
      </c>
      <c r="C242" s="4">
        <f>'Data - SKU Detail'!C231</f>
        <v>595.5</v>
      </c>
      <c r="D242" s="4">
        <f>'Data - SKU Detail'!F231</f>
        <v>12545</v>
      </c>
      <c r="E242" s="4">
        <f t="shared" si="27"/>
        <v>119.10000000000001</v>
      </c>
      <c r="F242" s="4">
        <f t="shared" si="28"/>
        <v>397.48896979452439</v>
      </c>
      <c r="G242" s="4">
        <f>'Data - SKU Detail'!G231</f>
        <v>9.2654424241810798</v>
      </c>
      <c r="H242" s="4">
        <f>'Data - SKU Detail'!H231</f>
        <v>6.5996934530900004</v>
      </c>
      <c r="I242" s="4">
        <f t="shared" si="29"/>
        <v>40.322034648881463</v>
      </c>
      <c r="J242" s="4">
        <f t="shared" si="30"/>
        <v>28.721031970689886</v>
      </c>
      <c r="K242" s="4">
        <f t="shared" si="31"/>
        <v>239.06651954614367</v>
      </c>
      <c r="L242" s="4">
        <f t="shared" si="32"/>
        <v>227.46551686795209</v>
      </c>
      <c r="M242" s="4">
        <f t="shared" si="33"/>
        <v>28472.822477945712</v>
      </c>
      <c r="N242" s="4">
        <f t="shared" si="34"/>
        <v>27091.143058973095</v>
      </c>
      <c r="O242" s="4">
        <f t="shared" si="35"/>
        <v>1381.679418972617</v>
      </c>
    </row>
    <row r="243" spans="1:15" x14ac:dyDescent="0.25">
      <c r="A243" s="4">
        <f>'Data - SKU Detail'!A232</f>
        <v>5</v>
      </c>
      <c r="B243" s="4">
        <f>'Data - SKU Detail'!B232</f>
        <v>31</v>
      </c>
      <c r="C243" s="4">
        <f>'Data - SKU Detail'!C232</f>
        <v>198.8</v>
      </c>
      <c r="D243" s="4">
        <f>'Data - SKU Detail'!F232</f>
        <v>18259</v>
      </c>
      <c r="E243" s="4">
        <f t="shared" si="27"/>
        <v>39.760000000000005</v>
      </c>
      <c r="F243" s="4">
        <f t="shared" si="28"/>
        <v>829.96721226843874</v>
      </c>
      <c r="G243" s="4">
        <f>'Data - SKU Detail'!G232</f>
        <v>11.9794775938238</v>
      </c>
      <c r="H243" s="4">
        <f>'Data - SKU Detail'!H232</f>
        <v>8.4429576852199393</v>
      </c>
      <c r="I243" s="4">
        <f t="shared" si="29"/>
        <v>52.133172761726527</v>
      </c>
      <c r="J243" s="4">
        <f t="shared" si="30"/>
        <v>36.742684994080875</v>
      </c>
      <c r="K243" s="4">
        <f t="shared" si="31"/>
        <v>467.11677889594591</v>
      </c>
      <c r="L243" s="4">
        <f t="shared" si="32"/>
        <v>451.72629112830026</v>
      </c>
      <c r="M243" s="4">
        <f t="shared" si="33"/>
        <v>18572.563128902813</v>
      </c>
      <c r="N243" s="4">
        <f t="shared" si="34"/>
        <v>17960.637335261221</v>
      </c>
      <c r="O243" s="4">
        <f t="shared" si="35"/>
        <v>611.92579364159246</v>
      </c>
    </row>
    <row r="244" spans="1:15" x14ac:dyDescent="0.25">
      <c r="A244" s="4">
        <f>'Data - SKU Detail'!A233</f>
        <v>5</v>
      </c>
      <c r="B244" s="4">
        <f>'Data - SKU Detail'!B233</f>
        <v>32</v>
      </c>
      <c r="C244" s="4">
        <f>'Data - SKU Detail'!C233</f>
        <v>462.3</v>
      </c>
      <c r="D244" s="4">
        <f>'Data - SKU Detail'!F233</f>
        <v>13619</v>
      </c>
      <c r="E244" s="4">
        <f t="shared" si="27"/>
        <v>92.460000000000008</v>
      </c>
      <c r="F244" s="4">
        <f t="shared" si="28"/>
        <v>470.04701050327179</v>
      </c>
      <c r="G244" s="4">
        <f>'Data - SKU Detail'!G233</f>
        <v>9.3914384468669105</v>
      </c>
      <c r="H244" s="4">
        <f>'Data - SKU Detail'!H233</f>
        <v>6.4886237375571101</v>
      </c>
      <c r="I244" s="4">
        <f t="shared" si="29"/>
        <v>40.870353418754817</v>
      </c>
      <c r="J244" s="4">
        <f t="shared" si="30"/>
        <v>28.237670603458199</v>
      </c>
      <c r="K244" s="4">
        <f t="shared" si="31"/>
        <v>275.89385867039073</v>
      </c>
      <c r="L244" s="4">
        <f t="shared" si="32"/>
        <v>263.26117585509411</v>
      </c>
      <c r="M244" s="4">
        <f t="shared" si="33"/>
        <v>25509.146172664328</v>
      </c>
      <c r="N244" s="4">
        <f t="shared" si="34"/>
        <v>24341.128319562002</v>
      </c>
      <c r="O244" s="4">
        <f t="shared" si="35"/>
        <v>1168.0178531023266</v>
      </c>
    </row>
    <row r="245" spans="1:15" x14ac:dyDescent="0.25">
      <c r="A245" s="4">
        <f>'Data - SKU Detail'!A234</f>
        <v>5</v>
      </c>
      <c r="B245" s="4">
        <f>'Data - SKU Detail'!B234</f>
        <v>33</v>
      </c>
      <c r="C245" s="4">
        <f>'Data - SKU Detail'!C234</f>
        <v>130.37</v>
      </c>
      <c r="D245" s="4">
        <f>'Data - SKU Detail'!F234</f>
        <v>21744</v>
      </c>
      <c r="E245" s="4">
        <f t="shared" si="27"/>
        <v>26.074000000000002</v>
      </c>
      <c r="F245" s="4">
        <f t="shared" si="28"/>
        <v>1118.436981224042</v>
      </c>
      <c r="G245" s="4">
        <f>'Data - SKU Detail'!G234</f>
        <v>10.877241436637499</v>
      </c>
      <c r="H245" s="4">
        <f>'Data - SKU Detail'!H234</f>
        <v>6.5969596492826303</v>
      </c>
      <c r="I245" s="4">
        <f t="shared" si="29"/>
        <v>47.336380284194711</v>
      </c>
      <c r="J245" s="4">
        <f t="shared" si="30"/>
        <v>28.709134801963614</v>
      </c>
      <c r="K245" s="4">
        <f t="shared" si="31"/>
        <v>606.55487089621568</v>
      </c>
      <c r="L245" s="4">
        <f t="shared" si="32"/>
        <v>587.92762541398463</v>
      </c>
      <c r="M245" s="4">
        <f t="shared" si="33"/>
        <v>15815.311703747928</v>
      </c>
      <c r="N245" s="4">
        <f t="shared" si="34"/>
        <v>15329.624905044237</v>
      </c>
      <c r="O245" s="4">
        <f t="shared" si="35"/>
        <v>485.68679870369124</v>
      </c>
    </row>
    <row r="246" spans="1:15" x14ac:dyDescent="0.25">
      <c r="A246" s="4">
        <f>'Data - SKU Detail'!A235</f>
        <v>5</v>
      </c>
      <c r="B246" s="4">
        <f>'Data - SKU Detail'!B235</f>
        <v>34</v>
      </c>
      <c r="C246" s="4">
        <f>'Data - SKU Detail'!C235</f>
        <v>1384.8</v>
      </c>
      <c r="D246" s="4">
        <f>'Data - SKU Detail'!F235</f>
        <v>7966</v>
      </c>
      <c r="E246" s="4">
        <f t="shared" si="27"/>
        <v>276.95999999999998</v>
      </c>
      <c r="F246" s="4">
        <f t="shared" si="28"/>
        <v>207.70992805217202</v>
      </c>
      <c r="G246" s="4">
        <f>'Data - SKU Detail'!G235</f>
        <v>7.4235070391716302</v>
      </c>
      <c r="H246" s="4">
        <f>'Data - SKU Detail'!H235</f>
        <v>4.9814728369108003</v>
      </c>
      <c r="I246" s="4">
        <f t="shared" si="29"/>
        <v>32.306164600245751</v>
      </c>
      <c r="J246" s="4">
        <f t="shared" si="30"/>
        <v>21.678740327408846</v>
      </c>
      <c r="K246" s="4">
        <f t="shared" si="31"/>
        <v>136.16112862633176</v>
      </c>
      <c r="L246" s="4">
        <f t="shared" si="32"/>
        <v>125.53370435349485</v>
      </c>
      <c r="M246" s="4">
        <f t="shared" si="33"/>
        <v>37711.186184348844</v>
      </c>
      <c r="N246" s="4">
        <f t="shared" si="34"/>
        <v>34767.81475774393</v>
      </c>
      <c r="O246" s="4">
        <f t="shared" si="35"/>
        <v>2943.3714266049137</v>
      </c>
    </row>
    <row r="247" spans="1:15" x14ac:dyDescent="0.25">
      <c r="A247" s="4">
        <f>'Data - SKU Detail'!A236</f>
        <v>5</v>
      </c>
      <c r="B247" s="4">
        <f>'Data - SKU Detail'!B236</f>
        <v>35</v>
      </c>
      <c r="C247" s="4">
        <f>'Data - SKU Detail'!C236</f>
        <v>167.93</v>
      </c>
      <c r="D247" s="4">
        <f>'Data - SKU Detail'!F236</f>
        <v>20541</v>
      </c>
      <c r="E247" s="4">
        <f t="shared" si="27"/>
        <v>33.586000000000006</v>
      </c>
      <c r="F247" s="4">
        <f t="shared" si="28"/>
        <v>957.80539510607321</v>
      </c>
      <c r="G247" s="4">
        <f>'Data - SKU Detail'!G236</f>
        <v>11.3301400511466</v>
      </c>
      <c r="H247" s="4">
        <f>'Data - SKU Detail'!H236</f>
        <v>7.4387626901716901</v>
      </c>
      <c r="I247" s="4">
        <f t="shared" si="29"/>
        <v>49.307337826276729</v>
      </c>
      <c r="J247" s="4">
        <f t="shared" si="30"/>
        <v>32.372555265694196</v>
      </c>
      <c r="K247" s="4">
        <f t="shared" si="31"/>
        <v>528.21003537931335</v>
      </c>
      <c r="L247" s="4">
        <f t="shared" si="32"/>
        <v>511.27525281873079</v>
      </c>
      <c r="M247" s="4">
        <f t="shared" si="33"/>
        <v>17740.46224824962</v>
      </c>
      <c r="N247" s="4">
        <f t="shared" si="34"/>
        <v>17171.690641169895</v>
      </c>
      <c r="O247" s="4">
        <f t="shared" si="35"/>
        <v>568.77160707972507</v>
      </c>
    </row>
    <row r="248" spans="1:15" x14ac:dyDescent="0.25">
      <c r="A248" s="4">
        <f>'Data - SKU Detail'!A237</f>
        <v>5</v>
      </c>
      <c r="B248" s="4">
        <f>'Data - SKU Detail'!B237</f>
        <v>36</v>
      </c>
      <c r="C248" s="4">
        <f>'Data - SKU Detail'!C237</f>
        <v>78.569999999999993</v>
      </c>
      <c r="D248" s="4">
        <f>'Data - SKU Detail'!F237</f>
        <v>23730</v>
      </c>
      <c r="E248" s="4">
        <f t="shared" si="27"/>
        <v>15.713999999999999</v>
      </c>
      <c r="F248" s="4">
        <f t="shared" si="28"/>
        <v>1505.0506797721807</v>
      </c>
      <c r="G248" s="4">
        <f>'Data - SKU Detail'!G237</f>
        <v>12.4098805863787</v>
      </c>
      <c r="H248" s="4">
        <f>'Data - SKU Detail'!H237</f>
        <v>8.9314756360968204</v>
      </c>
      <c r="I248" s="4">
        <f t="shared" si="29"/>
        <v>54.006232199610281</v>
      </c>
      <c r="J248" s="4">
        <f t="shared" si="30"/>
        <v>38.868653387176707</v>
      </c>
      <c r="K248" s="4">
        <f t="shared" si="31"/>
        <v>806.53157208570065</v>
      </c>
      <c r="L248" s="4">
        <f t="shared" si="32"/>
        <v>791.39399327326703</v>
      </c>
      <c r="M248" s="4">
        <f t="shared" si="33"/>
        <v>12673.837123754698</v>
      </c>
      <c r="N248" s="4">
        <f t="shared" si="34"/>
        <v>12435.965210296117</v>
      </c>
      <c r="O248" s="4">
        <f t="shared" si="35"/>
        <v>237.87191345858082</v>
      </c>
    </row>
    <row r="249" spans="1:15" x14ac:dyDescent="0.25">
      <c r="A249" s="4">
        <f>'Data - SKU Detail'!A238</f>
        <v>5</v>
      </c>
      <c r="B249" s="4">
        <f>'Data - SKU Detail'!B238</f>
        <v>37</v>
      </c>
      <c r="C249" s="4">
        <f>'Data - SKU Detail'!C238</f>
        <v>1169.73</v>
      </c>
      <c r="D249" s="4">
        <f>'Data - SKU Detail'!F238</f>
        <v>9165</v>
      </c>
      <c r="E249" s="4">
        <f t="shared" si="27"/>
        <v>233.94600000000003</v>
      </c>
      <c r="F249" s="4">
        <f t="shared" si="28"/>
        <v>242.41196509604902</v>
      </c>
      <c r="G249" s="4">
        <f>'Data - SKU Detail'!G238</f>
        <v>6.5607073575957804</v>
      </c>
      <c r="H249" s="4">
        <f>'Data - SKU Detail'!H238</f>
        <v>5.16576069524577</v>
      </c>
      <c r="I249" s="4">
        <f t="shared" si="29"/>
        <v>28.551369409381433</v>
      </c>
      <c r="J249" s="4">
        <f t="shared" si="30"/>
        <v>22.480737800271839</v>
      </c>
      <c r="K249" s="4">
        <f t="shared" si="31"/>
        <v>149.75735195740594</v>
      </c>
      <c r="L249" s="4">
        <f t="shared" si="32"/>
        <v>143.68672034829635</v>
      </c>
      <c r="M249" s="4">
        <f t="shared" si="33"/>
        <v>35035.133461027297</v>
      </c>
      <c r="N249" s="4">
        <f t="shared" si="34"/>
        <v>33614.933478602543</v>
      </c>
      <c r="O249" s="4">
        <f t="shared" si="35"/>
        <v>1420.1999824247541</v>
      </c>
    </row>
    <row r="250" spans="1:15" x14ac:dyDescent="0.25">
      <c r="A250" s="4">
        <f>'Data - SKU Detail'!A239</f>
        <v>5</v>
      </c>
      <c r="B250" s="4">
        <f>'Data - SKU Detail'!B239</f>
        <v>38</v>
      </c>
      <c r="C250" s="4">
        <f>'Data - SKU Detail'!C239</f>
        <v>66.37</v>
      </c>
      <c r="D250" s="4">
        <f>'Data - SKU Detail'!F239</f>
        <v>25115</v>
      </c>
      <c r="E250" s="4">
        <f t="shared" si="27"/>
        <v>13.274000000000001</v>
      </c>
      <c r="F250" s="4">
        <f t="shared" si="28"/>
        <v>1684.6563144139345</v>
      </c>
      <c r="G250" s="4">
        <f>'Data - SKU Detail'!G239</f>
        <v>13.209564503122699</v>
      </c>
      <c r="H250" s="4">
        <f>'Data - SKU Detail'!H239</f>
        <v>9.3826040054270905</v>
      </c>
      <c r="I250" s="4">
        <f t="shared" si="29"/>
        <v>57.486355557233409</v>
      </c>
      <c r="J250" s="4">
        <f t="shared" si="30"/>
        <v>40.831907045928602</v>
      </c>
      <c r="K250" s="4">
        <f t="shared" si="31"/>
        <v>899.81451276420069</v>
      </c>
      <c r="L250" s="4">
        <f t="shared" si="32"/>
        <v>883.16006425289584</v>
      </c>
      <c r="M250" s="4">
        <f t="shared" si="33"/>
        <v>11944.137842432001</v>
      </c>
      <c r="N250" s="4">
        <f t="shared" si="34"/>
        <v>11723.06669289294</v>
      </c>
      <c r="O250" s="4">
        <f t="shared" si="35"/>
        <v>221.07114953906057</v>
      </c>
    </row>
    <row r="251" spans="1:15" x14ac:dyDescent="0.25">
      <c r="A251" s="4">
        <f>'Data - SKU Detail'!A240</f>
        <v>5</v>
      </c>
      <c r="B251" s="4">
        <f>'Data - SKU Detail'!B240</f>
        <v>39</v>
      </c>
      <c r="C251" s="4">
        <f>'Data - SKU Detail'!C240</f>
        <v>503.01</v>
      </c>
      <c r="D251" s="4">
        <f>'Data - SKU Detail'!F240</f>
        <v>13689</v>
      </c>
      <c r="E251" s="4">
        <f t="shared" si="27"/>
        <v>100.602</v>
      </c>
      <c r="F251" s="4">
        <f t="shared" si="28"/>
        <v>451.78123045699533</v>
      </c>
      <c r="G251" s="4">
        <f>'Data - SKU Detail'!G240</f>
        <v>9.95414114545407</v>
      </c>
      <c r="H251" s="4">
        <f>'Data - SKU Detail'!H240</f>
        <v>6.67782846273502</v>
      </c>
      <c r="I251" s="4">
        <f t="shared" si="29"/>
        <v>43.319164459902254</v>
      </c>
      <c r="J251" s="4">
        <f t="shared" si="30"/>
        <v>29.061065659526456</v>
      </c>
      <c r="K251" s="4">
        <f t="shared" si="31"/>
        <v>269.20977968839992</v>
      </c>
      <c r="L251" s="4">
        <f t="shared" si="32"/>
        <v>254.95168088802413</v>
      </c>
      <c r="M251" s="4">
        <f t="shared" si="33"/>
        <v>27083.042256212411</v>
      </c>
      <c r="N251" s="4">
        <f t="shared" si="34"/>
        <v>25648.649000697005</v>
      </c>
      <c r="O251" s="4">
        <f t="shared" si="35"/>
        <v>1434.3932555154061</v>
      </c>
    </row>
    <row r="252" spans="1:15" x14ac:dyDescent="0.25">
      <c r="A252" s="4">
        <f>'Data - SKU Detail'!A241</f>
        <v>5</v>
      </c>
      <c r="B252" s="4">
        <f>'Data - SKU Detail'!B241</f>
        <v>40</v>
      </c>
      <c r="C252" s="4">
        <f>'Data - SKU Detail'!C241</f>
        <v>1272.73</v>
      </c>
      <c r="D252" s="4">
        <f>'Data - SKU Detail'!F241</f>
        <v>9079</v>
      </c>
      <c r="E252" s="4">
        <f t="shared" si="27"/>
        <v>254.54600000000002</v>
      </c>
      <c r="F252" s="4">
        <f t="shared" si="28"/>
        <v>231.30312439461329</v>
      </c>
      <c r="G252" s="4">
        <f>'Data - SKU Detail'!G241</f>
        <v>7.5579225336309799</v>
      </c>
      <c r="H252" s="4">
        <f>'Data - SKU Detail'!H241</f>
        <v>5.1083110769633802</v>
      </c>
      <c r="I252" s="4">
        <f t="shared" si="29"/>
        <v>32.891123847393139</v>
      </c>
      <c r="J252" s="4">
        <f t="shared" si="30"/>
        <v>22.230724320839716</v>
      </c>
      <c r="K252" s="4">
        <f t="shared" si="31"/>
        <v>148.54268604469979</v>
      </c>
      <c r="L252" s="4">
        <f t="shared" si="32"/>
        <v>137.88228651814637</v>
      </c>
      <c r="M252" s="4">
        <f t="shared" si="33"/>
        <v>37810.946561934157</v>
      </c>
      <c r="N252" s="4">
        <f t="shared" si="34"/>
        <v>35097.384504048088</v>
      </c>
      <c r="O252" s="4">
        <f t="shared" si="35"/>
        <v>2713.5620578860689</v>
      </c>
    </row>
    <row r="253" spans="1:15" x14ac:dyDescent="0.25">
      <c r="A253" s="4">
        <f>'Data - SKU Detail'!A242</f>
        <v>5</v>
      </c>
      <c r="B253" s="4">
        <f>'Data - SKU Detail'!B242</f>
        <v>41</v>
      </c>
      <c r="C253" s="4">
        <f>'Data - SKU Detail'!C242</f>
        <v>2111.73</v>
      </c>
      <c r="D253" s="4">
        <f>'Data - SKU Detail'!F242</f>
        <v>6848</v>
      </c>
      <c r="E253" s="4">
        <f t="shared" si="27"/>
        <v>422.346</v>
      </c>
      <c r="F253" s="4">
        <f t="shared" si="28"/>
        <v>155.95284888113778</v>
      </c>
      <c r="G253" s="4">
        <f>'Data - SKU Detail'!G242</f>
        <v>6.43334748526929</v>
      </c>
      <c r="H253" s="4">
        <f>'Data - SKU Detail'!H242</f>
        <v>4.6441280278613801</v>
      </c>
      <c r="I253" s="4">
        <f t="shared" si="29"/>
        <v>27.997115338207948</v>
      </c>
      <c r="J253" s="4">
        <f t="shared" si="30"/>
        <v>20.210658345310375</v>
      </c>
      <c r="K253" s="4">
        <f t="shared" si="31"/>
        <v>105.97353977877684</v>
      </c>
      <c r="L253" s="4">
        <f t="shared" si="32"/>
        <v>98.187082785879269</v>
      </c>
      <c r="M253" s="4">
        <f t="shared" si="33"/>
        <v>44757.500631407282</v>
      </c>
      <c r="N253" s="4">
        <f t="shared" si="34"/>
        <v>41468.921666284965</v>
      </c>
      <c r="O253" s="4">
        <f t="shared" si="35"/>
        <v>3288.5789651223167</v>
      </c>
    </row>
    <row r="254" spans="1:15" x14ac:dyDescent="0.25">
      <c r="A254" s="4">
        <f>'Data - SKU Detail'!A243</f>
        <v>5</v>
      </c>
      <c r="B254" s="4">
        <f>'Data - SKU Detail'!B243</f>
        <v>42</v>
      </c>
      <c r="C254" s="4">
        <f>'Data - SKU Detail'!C243</f>
        <v>704.99</v>
      </c>
      <c r="D254" s="4">
        <f>'Data - SKU Detail'!F243</f>
        <v>11221</v>
      </c>
      <c r="E254" s="4">
        <f t="shared" si="27"/>
        <v>140.99800000000002</v>
      </c>
      <c r="F254" s="4">
        <f t="shared" si="28"/>
        <v>345.5054756067355</v>
      </c>
      <c r="G254" s="4">
        <f>'Data - SKU Detail'!G243</f>
        <v>7.6529709684573897</v>
      </c>
      <c r="H254" s="4">
        <f>'Data - SKU Detail'!H243</f>
        <v>5.4763233661583399</v>
      </c>
      <c r="I254" s="4">
        <f t="shared" si="29"/>
        <v>33.30476262543899</v>
      </c>
      <c r="J254" s="4">
        <f t="shared" si="30"/>
        <v>23.83226730138928</v>
      </c>
      <c r="K254" s="4">
        <f t="shared" si="31"/>
        <v>206.05750042880675</v>
      </c>
      <c r="L254" s="4">
        <f t="shared" si="32"/>
        <v>196.58500510475704</v>
      </c>
      <c r="M254" s="4">
        <f t="shared" si="33"/>
        <v>29053.695445460897</v>
      </c>
      <c r="N254" s="4">
        <f t="shared" si="34"/>
        <v>27718.092549760539</v>
      </c>
      <c r="O254" s="4">
        <f t="shared" si="35"/>
        <v>1335.6028957003582</v>
      </c>
    </row>
    <row r="255" spans="1:15" x14ac:dyDescent="0.25">
      <c r="A255" s="4">
        <f>'Data - SKU Detail'!A244</f>
        <v>5</v>
      </c>
      <c r="B255" s="4">
        <f>'Data - SKU Detail'!B244</f>
        <v>43</v>
      </c>
      <c r="C255" s="4">
        <f>'Data - SKU Detail'!C244</f>
        <v>358.9</v>
      </c>
      <c r="D255" s="4">
        <f>'Data - SKU Detail'!F244</f>
        <v>15875</v>
      </c>
      <c r="E255" s="4">
        <f t="shared" si="27"/>
        <v>71.78</v>
      </c>
      <c r="F255" s="4">
        <f t="shared" si="28"/>
        <v>575.97120179703984</v>
      </c>
      <c r="G255" s="4">
        <f>'Data - SKU Detail'!G244</f>
        <v>9.8818328825179194</v>
      </c>
      <c r="H255" s="4">
        <f>'Data - SKU Detail'!H244</f>
        <v>6.1930602061315501</v>
      </c>
      <c r="I255" s="4">
        <f t="shared" si="29"/>
        <v>43.004488036475067</v>
      </c>
      <c r="J255" s="4">
        <f t="shared" si="30"/>
        <v>26.951415462097206</v>
      </c>
      <c r="K255" s="4">
        <f t="shared" si="31"/>
        <v>330.99008893499501</v>
      </c>
      <c r="L255" s="4">
        <f t="shared" si="32"/>
        <v>314.93701636061712</v>
      </c>
      <c r="M255" s="4">
        <f t="shared" si="33"/>
        <v>23758.468583753944</v>
      </c>
      <c r="N255" s="4">
        <f t="shared" si="34"/>
        <v>22606.179034365097</v>
      </c>
      <c r="O255" s="4">
        <f t="shared" si="35"/>
        <v>1152.2895493888464</v>
      </c>
    </row>
    <row r="256" spans="1:15" x14ac:dyDescent="0.25">
      <c r="A256" s="4">
        <f>'Data - SKU Detail'!A245</f>
        <v>5</v>
      </c>
      <c r="B256" s="4">
        <f>'Data - SKU Detail'!B245</f>
        <v>44</v>
      </c>
      <c r="C256" s="4">
        <f>'Data - SKU Detail'!C245</f>
        <v>908.1</v>
      </c>
      <c r="D256" s="4">
        <f>'Data - SKU Detail'!F245</f>
        <v>9147</v>
      </c>
      <c r="E256" s="4">
        <f t="shared" si="27"/>
        <v>181.62</v>
      </c>
      <c r="F256" s="4">
        <f t="shared" si="28"/>
        <v>274.85467824402474</v>
      </c>
      <c r="G256" s="4">
        <f>'Data - SKU Detail'!G245</f>
        <v>7.67217563832597</v>
      </c>
      <c r="H256" s="4">
        <f>'Data - SKU Detail'!H245</f>
        <v>5.1184959616125196</v>
      </c>
      <c r="I256" s="4">
        <f t="shared" si="29"/>
        <v>33.388338922005275</v>
      </c>
      <c r="J256" s="4">
        <f t="shared" si="30"/>
        <v>22.275047651870914</v>
      </c>
      <c r="K256" s="4">
        <f t="shared" si="31"/>
        <v>170.81567804401766</v>
      </c>
      <c r="L256" s="4">
        <f t="shared" si="32"/>
        <v>159.70238677388329</v>
      </c>
      <c r="M256" s="4">
        <f t="shared" si="33"/>
        <v>31023.543446354488</v>
      </c>
      <c r="N256" s="4">
        <f t="shared" si="34"/>
        <v>29005.147485872683</v>
      </c>
      <c r="O256" s="4">
        <f t="shared" si="35"/>
        <v>2018.3959604818047</v>
      </c>
    </row>
    <row r="257" spans="1:15" x14ac:dyDescent="0.25">
      <c r="A257" s="4">
        <f>'Data - SKU Detail'!A246</f>
        <v>5</v>
      </c>
      <c r="B257" s="4">
        <f>'Data - SKU Detail'!B246</f>
        <v>45</v>
      </c>
      <c r="C257" s="4">
        <f>'Data - SKU Detail'!C246</f>
        <v>61</v>
      </c>
      <c r="D257" s="4">
        <f>'Data - SKU Detail'!F246</f>
        <v>24938</v>
      </c>
      <c r="E257" s="4">
        <f t="shared" si="27"/>
        <v>12.200000000000001</v>
      </c>
      <c r="F257" s="4">
        <f t="shared" si="28"/>
        <v>1751.0418444410761</v>
      </c>
      <c r="G257" s="4">
        <f>'Data - SKU Detail'!G246</f>
        <v>12.2398929121035</v>
      </c>
      <c r="H257" s="4">
        <f>'Data - SKU Detail'!H246</f>
        <v>8.6728177281593393</v>
      </c>
      <c r="I257" s="4">
        <f t="shared" si="29"/>
        <v>53.266467320804374</v>
      </c>
      <c r="J257" s="4">
        <f t="shared" si="30"/>
        <v>37.743006855841841</v>
      </c>
      <c r="K257" s="4">
        <f t="shared" si="31"/>
        <v>928.78738954134246</v>
      </c>
      <c r="L257" s="4">
        <f t="shared" si="32"/>
        <v>913.2639290763799</v>
      </c>
      <c r="M257" s="4">
        <f t="shared" si="33"/>
        <v>11331.206152404378</v>
      </c>
      <c r="N257" s="4">
        <f t="shared" si="34"/>
        <v>11141.819934731835</v>
      </c>
      <c r="O257" s="4">
        <f t="shared" si="35"/>
        <v>189.38621767254335</v>
      </c>
    </row>
    <row r="258" spans="1:15" x14ac:dyDescent="0.25">
      <c r="A258" s="4">
        <f>'Data - SKU Detail'!A247</f>
        <v>5</v>
      </c>
      <c r="B258" s="4">
        <f>'Data - SKU Detail'!B247</f>
        <v>46</v>
      </c>
      <c r="C258" s="4">
        <f>'Data - SKU Detail'!C247</f>
        <v>216.31</v>
      </c>
      <c r="D258" s="4">
        <f>'Data - SKU Detail'!F247</f>
        <v>18384</v>
      </c>
      <c r="E258" s="4">
        <f t="shared" si="27"/>
        <v>43.262</v>
      </c>
      <c r="F258" s="4">
        <f t="shared" si="28"/>
        <v>798.38494457064553</v>
      </c>
      <c r="G258" s="4">
        <f>'Data - SKU Detail'!G247</f>
        <v>10.412284633318301</v>
      </c>
      <c r="H258" s="4">
        <f>'Data - SKU Detail'!H247</f>
        <v>8.0470616645135404</v>
      </c>
      <c r="I258" s="4">
        <f t="shared" si="29"/>
        <v>45.312947028083691</v>
      </c>
      <c r="J258" s="4">
        <f t="shared" si="30"/>
        <v>35.019795537381384</v>
      </c>
      <c r="K258" s="4">
        <f t="shared" si="31"/>
        <v>444.50541931340643</v>
      </c>
      <c r="L258" s="4">
        <f t="shared" si="32"/>
        <v>434.21226782270412</v>
      </c>
      <c r="M258" s="4">
        <f t="shared" si="33"/>
        <v>19230.193450336588</v>
      </c>
      <c r="N258" s="4">
        <f t="shared" si="34"/>
        <v>18784.891130545824</v>
      </c>
      <c r="O258" s="4">
        <f t="shared" si="35"/>
        <v>445.30231979076416</v>
      </c>
    </row>
    <row r="259" spans="1:15" x14ac:dyDescent="0.25">
      <c r="A259" s="4">
        <f>'Data - SKU Detail'!A248</f>
        <v>5</v>
      </c>
      <c r="B259" s="4">
        <f>'Data - SKU Detail'!B248</f>
        <v>47</v>
      </c>
      <c r="C259" s="4">
        <f>'Data - SKU Detail'!C248</f>
        <v>1940.83</v>
      </c>
      <c r="D259" s="4">
        <f>'Data - SKU Detail'!F248</f>
        <v>6762</v>
      </c>
      <c r="E259" s="4">
        <f t="shared" si="27"/>
        <v>388.166</v>
      </c>
      <c r="F259" s="4">
        <f t="shared" si="28"/>
        <v>161.64953758756079</v>
      </c>
      <c r="G259" s="4">
        <f>'Data - SKU Detail'!G248</f>
        <v>6.4607584620107401</v>
      </c>
      <c r="H259" s="4">
        <f>'Data - SKU Detail'!H248</f>
        <v>4.7371305308715499</v>
      </c>
      <c r="I259" s="4">
        <f t="shared" si="29"/>
        <v>28.116404445336165</v>
      </c>
      <c r="J259" s="4">
        <f t="shared" si="30"/>
        <v>20.615393486615861</v>
      </c>
      <c r="K259" s="4">
        <f t="shared" si="31"/>
        <v>108.94117323911655</v>
      </c>
      <c r="L259" s="4">
        <f t="shared" si="32"/>
        <v>101.44016228039625</v>
      </c>
      <c r="M259" s="4">
        <f t="shared" si="33"/>
        <v>42287.259451534912</v>
      </c>
      <c r="N259" s="4">
        <f t="shared" si="34"/>
        <v>39375.622031732288</v>
      </c>
      <c r="O259" s="4">
        <f t="shared" si="35"/>
        <v>2911.6374198026242</v>
      </c>
    </row>
    <row r="260" spans="1:15" x14ac:dyDescent="0.25">
      <c r="A260" s="4">
        <f>'Data - SKU Detail'!A249</f>
        <v>5</v>
      </c>
      <c r="B260" s="4">
        <f>'Data - SKU Detail'!B249</f>
        <v>48</v>
      </c>
      <c r="C260" s="4">
        <f>'Data - SKU Detail'!C249</f>
        <v>329.86</v>
      </c>
      <c r="D260" s="4">
        <f>'Data - SKU Detail'!F249</f>
        <v>15893</v>
      </c>
      <c r="E260" s="4">
        <f t="shared" si="27"/>
        <v>65.972000000000008</v>
      </c>
      <c r="F260" s="4">
        <f t="shared" si="28"/>
        <v>601.13047567423553</v>
      </c>
      <c r="G260" s="4">
        <f>'Data - SKU Detail'!G249</f>
        <v>10.555809182681999</v>
      </c>
      <c r="H260" s="4">
        <f>'Data - SKU Detail'!H249</f>
        <v>7.0938511614780602</v>
      </c>
      <c r="I260" s="4">
        <f t="shared" si="29"/>
        <v>45.937547731154773</v>
      </c>
      <c r="J260" s="4">
        <f t="shared" si="30"/>
        <v>30.871543875834696</v>
      </c>
      <c r="K260" s="4">
        <f t="shared" si="31"/>
        <v>346.50278556827254</v>
      </c>
      <c r="L260" s="4">
        <f t="shared" si="32"/>
        <v>331.43678171295244</v>
      </c>
      <c r="M260" s="4">
        <f t="shared" si="33"/>
        <v>22859.481769510079</v>
      </c>
      <c r="N260" s="4">
        <f t="shared" si="34"/>
        <v>21865.547363166901</v>
      </c>
      <c r="O260" s="4">
        <f t="shared" si="35"/>
        <v>993.93440634317813</v>
      </c>
    </row>
    <row r="261" spans="1:15" x14ac:dyDescent="0.25">
      <c r="A261" s="4">
        <f>'Data - SKU Detail'!A250</f>
        <v>5</v>
      </c>
      <c r="B261" s="4">
        <f>'Data - SKU Detail'!B250</f>
        <v>49</v>
      </c>
      <c r="C261" s="4">
        <f>'Data - SKU Detail'!C250</f>
        <v>988.06</v>
      </c>
      <c r="D261" s="4">
        <f>'Data - SKU Detail'!F250</f>
        <v>9249</v>
      </c>
      <c r="E261" s="4">
        <f t="shared" si="27"/>
        <v>197.61199999999999</v>
      </c>
      <c r="F261" s="4">
        <f t="shared" si="28"/>
        <v>264.96368946597369</v>
      </c>
      <c r="G261" s="4">
        <f>'Data - SKU Detail'!G250</f>
        <v>6.1954547709141101</v>
      </c>
      <c r="H261" s="4">
        <f>'Data - SKU Detail'!H250</f>
        <v>4.2556651264141001</v>
      </c>
      <c r="I261" s="4">
        <f t="shared" si="29"/>
        <v>26.96183630545374</v>
      </c>
      <c r="J261" s="4">
        <f t="shared" si="30"/>
        <v>18.520116884377746</v>
      </c>
      <c r="K261" s="4">
        <f t="shared" si="31"/>
        <v>159.44368103844059</v>
      </c>
      <c r="L261" s="4">
        <f t="shared" si="32"/>
        <v>151.0019616173646</v>
      </c>
      <c r="M261" s="4">
        <f t="shared" si="33"/>
        <v>31507.98469736832</v>
      </c>
      <c r="N261" s="4">
        <f t="shared" si="34"/>
        <v>29839.799639130651</v>
      </c>
      <c r="O261" s="4">
        <f t="shared" si="35"/>
        <v>1668.1850582376683</v>
      </c>
    </row>
    <row r="262" spans="1:15" x14ac:dyDescent="0.25">
      <c r="A262" s="4">
        <f>'Data - SKU Detail'!A251</f>
        <v>5</v>
      </c>
      <c r="B262" s="4">
        <f>'Data - SKU Detail'!B251</f>
        <v>50</v>
      </c>
      <c r="C262" s="4">
        <f>'Data - SKU Detail'!C251</f>
        <v>154.34</v>
      </c>
      <c r="D262" s="4">
        <f>'Data - SKU Detail'!F251</f>
        <v>20585</v>
      </c>
      <c r="E262" s="4">
        <f t="shared" si="27"/>
        <v>30.868000000000002</v>
      </c>
      <c r="F262" s="4">
        <f t="shared" si="28"/>
        <v>1000.1538692039896</v>
      </c>
      <c r="G262" s="4">
        <f>'Data - SKU Detail'!G251</f>
        <v>10.993982630741501</v>
      </c>
      <c r="H262" s="4">
        <f>'Data - SKU Detail'!H251</f>
        <v>7.7317417226522096</v>
      </c>
      <c r="I262" s="4">
        <f t="shared" si="29"/>
        <v>47.844423209519924</v>
      </c>
      <c r="J262" s="4">
        <f t="shared" si="30"/>
        <v>33.64756299422362</v>
      </c>
      <c r="K262" s="4">
        <f t="shared" si="31"/>
        <v>547.92135781151478</v>
      </c>
      <c r="L262" s="4">
        <f t="shared" si="32"/>
        <v>533.7244975962185</v>
      </c>
      <c r="M262" s="4">
        <f t="shared" si="33"/>
        <v>16913.236472925841</v>
      </c>
      <c r="N262" s="4">
        <f t="shared" si="34"/>
        <v>16475.007791800075</v>
      </c>
      <c r="O262" s="4">
        <f t="shared" si="35"/>
        <v>438.22868112576543</v>
      </c>
    </row>
    <row r="263" spans="1:15" x14ac:dyDescent="0.25">
      <c r="A263" s="4">
        <f>'Data - SKU Detail'!A252</f>
        <v>6</v>
      </c>
      <c r="B263" s="4">
        <f>'Data - SKU Detail'!B252</f>
        <v>1</v>
      </c>
      <c r="C263" s="4">
        <f>'Data - SKU Detail'!C252</f>
        <v>2297.6799999999998</v>
      </c>
      <c r="D263" s="4">
        <f>'Data - SKU Detail'!F252</f>
        <v>6726</v>
      </c>
      <c r="E263" s="4">
        <f t="shared" si="27"/>
        <v>459.536</v>
      </c>
      <c r="F263" s="4">
        <f t="shared" si="28"/>
        <v>148.17136822247605</v>
      </c>
      <c r="G263" s="4">
        <f>'Data - SKU Detail'!G252</f>
        <v>6.1330992843992096</v>
      </c>
      <c r="H263" s="4">
        <f>'Data - SKU Detail'!H252</f>
        <v>4.12131149765505</v>
      </c>
      <c r="I263" s="4">
        <f t="shared" si="29"/>
        <v>26.690473107379155</v>
      </c>
      <c r="J263" s="4">
        <f t="shared" si="30"/>
        <v>17.935426868940713</v>
      </c>
      <c r="K263" s="4">
        <f t="shared" si="31"/>
        <v>100.77615721861719</v>
      </c>
      <c r="L263" s="4">
        <f t="shared" si="32"/>
        <v>92.021110980178733</v>
      </c>
      <c r="M263" s="4">
        <f t="shared" si="33"/>
        <v>46310.27218361447</v>
      </c>
      <c r="N263" s="4">
        <f t="shared" si="34"/>
        <v>42287.013255387414</v>
      </c>
      <c r="O263" s="4">
        <f t="shared" si="35"/>
        <v>4023.2589282270565</v>
      </c>
    </row>
    <row r="264" spans="1:15" x14ac:dyDescent="0.25">
      <c r="A264" s="4">
        <f>'Data - SKU Detail'!A253</f>
        <v>6</v>
      </c>
      <c r="B264" s="4">
        <f>'Data - SKU Detail'!B253</f>
        <v>2</v>
      </c>
      <c r="C264" s="4">
        <f>'Data - SKU Detail'!C253</f>
        <v>235.35</v>
      </c>
      <c r="D264" s="4">
        <f>'Data - SKU Detail'!F253</f>
        <v>18321</v>
      </c>
      <c r="E264" s="4">
        <f t="shared" si="27"/>
        <v>47.07</v>
      </c>
      <c r="F264" s="4">
        <f t="shared" si="28"/>
        <v>764.09633701326811</v>
      </c>
      <c r="G264" s="4">
        <f>'Data - SKU Detail'!G253</f>
        <v>11.1765145205256</v>
      </c>
      <c r="H264" s="4">
        <f>'Data - SKU Detail'!H253</f>
        <v>7.1021912073549798</v>
      </c>
      <c r="I264" s="4">
        <f t="shared" si="29"/>
        <v>48.638778929133693</v>
      </c>
      <c r="J264" s="4">
        <f t="shared" si="30"/>
        <v>30.907838701642991</v>
      </c>
      <c r="K264" s="4">
        <f t="shared" si="31"/>
        <v>430.68694743576776</v>
      </c>
      <c r="L264" s="4">
        <f t="shared" si="32"/>
        <v>412.95600720827707</v>
      </c>
      <c r="M264" s="4">
        <f t="shared" si="33"/>
        <v>20272.434615801591</v>
      </c>
      <c r="N264" s="4">
        <f t="shared" si="34"/>
        <v>19437.839259293603</v>
      </c>
      <c r="O264" s="4">
        <f t="shared" si="35"/>
        <v>834.59535650798716</v>
      </c>
    </row>
    <row r="265" spans="1:15" x14ac:dyDescent="0.25">
      <c r="A265" s="4">
        <f>'Data - SKU Detail'!A254</f>
        <v>6</v>
      </c>
      <c r="B265" s="4">
        <f>'Data - SKU Detail'!B254</f>
        <v>3</v>
      </c>
      <c r="C265" s="4">
        <f>'Data - SKU Detail'!C254</f>
        <v>767.06</v>
      </c>
      <c r="D265" s="4">
        <f>'Data - SKU Detail'!F254</f>
        <v>11325</v>
      </c>
      <c r="E265" s="4">
        <f t="shared" si="27"/>
        <v>153.41200000000001</v>
      </c>
      <c r="F265" s="4">
        <f t="shared" si="28"/>
        <v>332.76302910788161</v>
      </c>
      <c r="G265" s="4">
        <f>'Data - SKU Detail'!G254</f>
        <v>9.5580805586477204</v>
      </c>
      <c r="H265" s="4">
        <f>'Data - SKU Detail'!H254</f>
        <v>6.4927071195183403</v>
      </c>
      <c r="I265" s="4">
        <f t="shared" si="29"/>
        <v>41.595558832330362</v>
      </c>
      <c r="J265" s="4">
        <f t="shared" si="30"/>
        <v>28.255440965777396</v>
      </c>
      <c r="K265" s="4">
        <f t="shared" si="31"/>
        <v>207.97707338627117</v>
      </c>
      <c r="L265" s="4">
        <f t="shared" si="32"/>
        <v>194.63695551971819</v>
      </c>
      <c r="M265" s="4">
        <f t="shared" si="33"/>
        <v>31906.178782334635</v>
      </c>
      <c r="N265" s="4">
        <f t="shared" si="34"/>
        <v>29859.644620191008</v>
      </c>
      <c r="O265" s="4">
        <f t="shared" si="35"/>
        <v>2046.5341621436273</v>
      </c>
    </row>
    <row r="266" spans="1:15" x14ac:dyDescent="0.25">
      <c r="A266" s="4">
        <f>'Data - SKU Detail'!A255</f>
        <v>6</v>
      </c>
      <c r="B266" s="4">
        <f>'Data - SKU Detail'!B255</f>
        <v>4</v>
      </c>
      <c r="C266" s="4">
        <f>'Data - SKU Detail'!C255</f>
        <v>1783.76</v>
      </c>
      <c r="D266" s="4">
        <f>'Data - SKU Detail'!F255</f>
        <v>6762</v>
      </c>
      <c r="E266" s="4">
        <f t="shared" si="27"/>
        <v>356.75200000000001</v>
      </c>
      <c r="F266" s="4">
        <f t="shared" si="28"/>
        <v>168.61647443387326</v>
      </c>
      <c r="G266" s="4">
        <f>'Data - SKU Detail'!G255</f>
        <v>6.9017748397672198</v>
      </c>
      <c r="H266" s="4">
        <f>'Data - SKU Detail'!H255</f>
        <v>4.7549896760227899</v>
      </c>
      <c r="I266" s="4">
        <f t="shared" si="29"/>
        <v>30.035651994510015</v>
      </c>
      <c r="J266" s="4">
        <f t="shared" si="30"/>
        <v>20.693114229632766</v>
      </c>
      <c r="K266" s="4">
        <f t="shared" si="31"/>
        <v>114.34388921144665</v>
      </c>
      <c r="L266" s="4">
        <f t="shared" si="32"/>
        <v>105.0013514465694</v>
      </c>
      <c r="M266" s="4">
        <f t="shared" si="33"/>
        <v>40792.411163962017</v>
      </c>
      <c r="N266" s="4">
        <f t="shared" si="34"/>
        <v>37459.442131266529</v>
      </c>
      <c r="O266" s="4">
        <f t="shared" si="35"/>
        <v>3332.9690326954878</v>
      </c>
    </row>
    <row r="267" spans="1:15" x14ac:dyDescent="0.25">
      <c r="A267" s="4">
        <f>'Data - SKU Detail'!A256</f>
        <v>6</v>
      </c>
      <c r="B267" s="4">
        <f>'Data - SKU Detail'!B256</f>
        <v>5</v>
      </c>
      <c r="C267" s="4">
        <f>'Data - SKU Detail'!C256</f>
        <v>2500</v>
      </c>
      <c r="D267" s="4">
        <f>'Data - SKU Detail'!F256</f>
        <v>5599</v>
      </c>
      <c r="E267" s="4">
        <f t="shared" si="27"/>
        <v>500</v>
      </c>
      <c r="F267" s="4">
        <f t="shared" si="28"/>
        <v>129.60324070022324</v>
      </c>
      <c r="G267" s="4">
        <f>'Data - SKU Detail'!G256</f>
        <v>6.1788424195382197</v>
      </c>
      <c r="H267" s="4">
        <f>'Data - SKU Detail'!H256</f>
        <v>4.1485801685001196</v>
      </c>
      <c r="I267" s="4">
        <f t="shared" si="29"/>
        <v>26.889541451402316</v>
      </c>
      <c r="J267" s="4">
        <f t="shared" si="30"/>
        <v>18.054096678789648</v>
      </c>
      <c r="K267" s="4">
        <f t="shared" si="31"/>
        <v>91.691161801513942</v>
      </c>
      <c r="L267" s="4">
        <f t="shared" si="32"/>
        <v>82.855717028901267</v>
      </c>
      <c r="M267" s="4">
        <f t="shared" si="33"/>
        <v>45845.58090075697</v>
      </c>
      <c r="N267" s="4">
        <f t="shared" si="34"/>
        <v>41427.858514450636</v>
      </c>
      <c r="O267" s="4">
        <f t="shared" si="35"/>
        <v>4417.7223863063336</v>
      </c>
    </row>
    <row r="268" spans="1:15" x14ac:dyDescent="0.25">
      <c r="A268" s="4">
        <f>'Data - SKU Detail'!A257</f>
        <v>6</v>
      </c>
      <c r="B268" s="4">
        <f>'Data - SKU Detail'!B257</f>
        <v>6</v>
      </c>
      <c r="C268" s="4">
        <f>'Data - SKU Detail'!C257</f>
        <v>278.63</v>
      </c>
      <c r="D268" s="4">
        <f>'Data - SKU Detail'!F257</f>
        <v>18183</v>
      </c>
      <c r="E268" s="4">
        <f t="shared" si="27"/>
        <v>55.725999999999999</v>
      </c>
      <c r="F268" s="4">
        <f t="shared" si="28"/>
        <v>699.59945677583414</v>
      </c>
      <c r="G268" s="4">
        <f>'Data - SKU Detail'!G257</f>
        <v>10.5644055712594</v>
      </c>
      <c r="H268" s="4">
        <f>'Data - SKU Detail'!H257</f>
        <v>7.0179614306571603</v>
      </c>
      <c r="I268" s="4">
        <f t="shared" si="29"/>
        <v>45.974958128004104</v>
      </c>
      <c r="J268" s="4">
        <f t="shared" si="30"/>
        <v>30.541281356727293</v>
      </c>
      <c r="K268" s="4">
        <f t="shared" si="31"/>
        <v>395.77468651592119</v>
      </c>
      <c r="L268" s="4">
        <f t="shared" si="32"/>
        <v>380.34100974464434</v>
      </c>
      <c r="M268" s="4">
        <f t="shared" si="33"/>
        <v>22054.940180786223</v>
      </c>
      <c r="N268" s="4">
        <f t="shared" si="34"/>
        <v>21194.883109030052</v>
      </c>
      <c r="O268" s="4">
        <f t="shared" si="35"/>
        <v>860.05707175617135</v>
      </c>
    </row>
    <row r="269" spans="1:15" x14ac:dyDescent="0.25">
      <c r="A269" s="4">
        <f>'Data - SKU Detail'!A258</f>
        <v>6</v>
      </c>
      <c r="B269" s="4">
        <f>'Data - SKU Detail'!B258</f>
        <v>7</v>
      </c>
      <c r="C269" s="4">
        <f>'Data - SKU Detail'!C258</f>
        <v>256.08</v>
      </c>
      <c r="D269" s="4">
        <f>'Data - SKU Detail'!F258</f>
        <v>18114</v>
      </c>
      <c r="E269" s="4">
        <f t="shared" ref="E269:E332" si="36">C269*$B$6</f>
        <v>51.216000000000001</v>
      </c>
      <c r="F269" s="4">
        <f t="shared" ref="F269:F332" si="37">SQRT(2*D269*$B$5/E269)</f>
        <v>728.3665333713052</v>
      </c>
      <c r="G269" s="4">
        <f>'Data - SKU Detail'!G258</f>
        <v>10.2723774818897</v>
      </c>
      <c r="H269" s="4">
        <f>'Data - SKU Detail'!H258</f>
        <v>7.4700468779196498</v>
      </c>
      <c r="I269" s="4">
        <f t="shared" ref="I269:I332" si="38">$B$9*G269*SQRT($B$7)</f>
        <v>44.704088783731805</v>
      </c>
      <c r="J269" s="4">
        <f t="shared" ref="J269:J332" si="39">$B$9*H269*SQRT($B$7)</f>
        <v>32.508700097703858</v>
      </c>
      <c r="K269" s="4">
        <f t="shared" ref="K269:K332" si="40">F269/2+I269</f>
        <v>408.88735546938437</v>
      </c>
      <c r="L269" s="4">
        <f t="shared" ref="L269:L332" si="41">F269/2+J269</f>
        <v>396.69196678335646</v>
      </c>
      <c r="M269" s="4">
        <f t="shared" ref="M269:M332" si="42">K269*E269</f>
        <v>20941.57479771999</v>
      </c>
      <c r="N269" s="4">
        <f t="shared" ref="N269:N332" si="43">L269*E269</f>
        <v>20316.975770776386</v>
      </c>
      <c r="O269" s="4">
        <f t="shared" ref="O269:O332" si="44">M269-N269</f>
        <v>624.59902694360426</v>
      </c>
    </row>
    <row r="270" spans="1:15" x14ac:dyDescent="0.25">
      <c r="A270" s="4">
        <f>'Data - SKU Detail'!A259</f>
        <v>6</v>
      </c>
      <c r="B270" s="4">
        <f>'Data - SKU Detail'!B259</f>
        <v>8</v>
      </c>
      <c r="C270" s="4">
        <f>'Data - SKU Detail'!C259</f>
        <v>85.49</v>
      </c>
      <c r="D270" s="4">
        <f>'Data - SKU Detail'!F259</f>
        <v>23731</v>
      </c>
      <c r="E270" s="4">
        <f t="shared" si="36"/>
        <v>17.097999999999999</v>
      </c>
      <c r="F270" s="4">
        <f t="shared" si="37"/>
        <v>1442.8825887547368</v>
      </c>
      <c r="G270" s="4">
        <f>'Data - SKU Detail'!G259</f>
        <v>13.3695811434847</v>
      </c>
      <c r="H270" s="4">
        <f>'Data - SKU Detail'!H259</f>
        <v>8.6805204447524904</v>
      </c>
      <c r="I270" s="4">
        <f t="shared" si="38"/>
        <v>58.182727756388751</v>
      </c>
      <c r="J270" s="4">
        <f t="shared" si="39"/>
        <v>37.776528105140088</v>
      </c>
      <c r="K270" s="4">
        <f t="shared" si="40"/>
        <v>779.62402213375719</v>
      </c>
      <c r="L270" s="4">
        <f t="shared" si="41"/>
        <v>759.2178224825085</v>
      </c>
      <c r="M270" s="4">
        <f t="shared" si="42"/>
        <v>13330.01153044298</v>
      </c>
      <c r="N270" s="4">
        <f t="shared" si="43"/>
        <v>12981.106328805929</v>
      </c>
      <c r="O270" s="4">
        <f t="shared" si="44"/>
        <v>348.9052016370515</v>
      </c>
    </row>
    <row r="271" spans="1:15" x14ac:dyDescent="0.25">
      <c r="A271" s="4">
        <f>'Data - SKU Detail'!A260</f>
        <v>6</v>
      </c>
      <c r="B271" s="4">
        <f>'Data - SKU Detail'!B260</f>
        <v>9</v>
      </c>
      <c r="C271" s="4">
        <f>'Data - SKU Detail'!C260</f>
        <v>303.16000000000003</v>
      </c>
      <c r="D271" s="4">
        <f>'Data - SKU Detail'!F260</f>
        <v>16227</v>
      </c>
      <c r="E271" s="4">
        <f t="shared" si="36"/>
        <v>60.632000000000005</v>
      </c>
      <c r="F271" s="4">
        <f t="shared" si="37"/>
        <v>633.59800420105728</v>
      </c>
      <c r="G271" s="4">
        <f>'Data - SKU Detail'!G260</f>
        <v>8.8631025446866101</v>
      </c>
      <c r="H271" s="4">
        <f>'Data - SKU Detail'!H260</f>
        <v>6.4955481613431401</v>
      </c>
      <c r="I271" s="4">
        <f t="shared" si="38"/>
        <v>38.571102332982193</v>
      </c>
      <c r="J271" s="4">
        <f t="shared" si="39"/>
        <v>28.267804820804926</v>
      </c>
      <c r="K271" s="4">
        <f t="shared" si="40"/>
        <v>355.37010443351085</v>
      </c>
      <c r="L271" s="4">
        <f t="shared" si="41"/>
        <v>345.06680692133358</v>
      </c>
      <c r="M271" s="4">
        <f t="shared" si="42"/>
        <v>21546.80017201263</v>
      </c>
      <c r="N271" s="4">
        <f t="shared" si="43"/>
        <v>20922.0906372543</v>
      </c>
      <c r="O271" s="4">
        <f t="shared" si="44"/>
        <v>624.70953475833085</v>
      </c>
    </row>
    <row r="272" spans="1:15" x14ac:dyDescent="0.25">
      <c r="A272" s="4">
        <f>'Data - SKU Detail'!A261</f>
        <v>6</v>
      </c>
      <c r="B272" s="4">
        <f>'Data - SKU Detail'!B261</f>
        <v>10</v>
      </c>
      <c r="C272" s="4">
        <f>'Data - SKU Detail'!C261</f>
        <v>93.02</v>
      </c>
      <c r="D272" s="4">
        <f>'Data - SKU Detail'!F261</f>
        <v>22682</v>
      </c>
      <c r="E272" s="4">
        <f t="shared" si="36"/>
        <v>18.603999999999999</v>
      </c>
      <c r="F272" s="4">
        <f t="shared" si="37"/>
        <v>1352.3314157443176</v>
      </c>
      <c r="G272" s="4">
        <f>'Data - SKU Detail'!G261</f>
        <v>10.697598088981801</v>
      </c>
      <c r="H272" s="4">
        <f>'Data - SKU Detail'!H261</f>
        <v>6.4882017812097601</v>
      </c>
      <c r="I272" s="4">
        <f t="shared" si="38"/>
        <v>46.554595134927602</v>
      </c>
      <c r="J272" s="4">
        <f t="shared" si="39"/>
        <v>28.235834302752931</v>
      </c>
      <c r="K272" s="4">
        <f t="shared" si="40"/>
        <v>722.72030300708639</v>
      </c>
      <c r="L272" s="4">
        <f t="shared" si="41"/>
        <v>704.4015421749117</v>
      </c>
      <c r="M272" s="4">
        <f t="shared" si="42"/>
        <v>13445.488517143835</v>
      </c>
      <c r="N272" s="4">
        <f t="shared" si="43"/>
        <v>13104.686290622056</v>
      </c>
      <c r="O272" s="4">
        <f t="shared" si="44"/>
        <v>340.80222652177872</v>
      </c>
    </row>
    <row r="273" spans="1:15" x14ac:dyDescent="0.25">
      <c r="A273" s="4">
        <f>'Data - SKU Detail'!A262</f>
        <v>6</v>
      </c>
      <c r="B273" s="4">
        <f>'Data - SKU Detail'!B262</f>
        <v>11</v>
      </c>
      <c r="C273" s="4">
        <f>'Data - SKU Detail'!C262</f>
        <v>101.21</v>
      </c>
      <c r="D273" s="4">
        <f>'Data - SKU Detail'!F262</f>
        <v>21441</v>
      </c>
      <c r="E273" s="4">
        <f t="shared" si="36"/>
        <v>20.242000000000001</v>
      </c>
      <c r="F273" s="4">
        <f t="shared" si="37"/>
        <v>1260.4959008327651</v>
      </c>
      <c r="G273" s="4">
        <f>'Data - SKU Detail'!G262</f>
        <v>11.6926314487326</v>
      </c>
      <c r="H273" s="4">
        <f>'Data - SKU Detail'!H262</f>
        <v>8.2998509189651006</v>
      </c>
      <c r="I273" s="4">
        <f t="shared" si="38"/>
        <v>50.884854584163868</v>
      </c>
      <c r="J273" s="4">
        <f t="shared" si="39"/>
        <v>36.119902430308478</v>
      </c>
      <c r="K273" s="4">
        <f t="shared" si="40"/>
        <v>681.13280500054645</v>
      </c>
      <c r="L273" s="4">
        <f t="shared" si="41"/>
        <v>666.36785284669099</v>
      </c>
      <c r="M273" s="4">
        <f t="shared" si="42"/>
        <v>13787.490238821061</v>
      </c>
      <c r="N273" s="4">
        <f t="shared" si="43"/>
        <v>13488.618077322719</v>
      </c>
      <c r="O273" s="4">
        <f t="shared" si="44"/>
        <v>298.87216149834239</v>
      </c>
    </row>
    <row r="274" spans="1:15" x14ac:dyDescent="0.25">
      <c r="A274" s="4">
        <f>'Data - SKU Detail'!A263</f>
        <v>6</v>
      </c>
      <c r="B274" s="4">
        <f>'Data - SKU Detail'!B263</f>
        <v>12</v>
      </c>
      <c r="C274" s="4">
        <f>'Data - SKU Detail'!C263</f>
        <v>110.12</v>
      </c>
      <c r="D274" s="4">
        <f>'Data - SKU Detail'!F263</f>
        <v>21369</v>
      </c>
      <c r="E274" s="4">
        <f t="shared" si="36"/>
        <v>22.024000000000001</v>
      </c>
      <c r="F274" s="4">
        <f t="shared" si="37"/>
        <v>1206.3952814103184</v>
      </c>
      <c r="G274" s="4">
        <f>'Data - SKU Detail'!G263</f>
        <v>11.900607652302</v>
      </c>
      <c r="H274" s="4">
        <f>'Data - SKU Detail'!H263</f>
        <v>8.4631748248683092</v>
      </c>
      <c r="I274" s="4">
        <f t="shared" si="38"/>
        <v>51.78994074222819</v>
      </c>
      <c r="J274" s="4">
        <f t="shared" si="39"/>
        <v>36.830667431193142</v>
      </c>
      <c r="K274" s="4">
        <f t="shared" si="40"/>
        <v>654.98758144738736</v>
      </c>
      <c r="L274" s="4">
        <f t="shared" si="41"/>
        <v>640.02830813635228</v>
      </c>
      <c r="M274" s="4">
        <f t="shared" si="42"/>
        <v>14425.446493797259</v>
      </c>
      <c r="N274" s="4">
        <f t="shared" si="43"/>
        <v>14095.983458395023</v>
      </c>
      <c r="O274" s="4">
        <f t="shared" si="44"/>
        <v>329.46303540223562</v>
      </c>
    </row>
    <row r="275" spans="1:15" x14ac:dyDescent="0.25">
      <c r="A275" s="4">
        <f>'Data - SKU Detail'!A264</f>
        <v>6</v>
      </c>
      <c r="B275" s="4">
        <f>'Data - SKU Detail'!B264</f>
        <v>13</v>
      </c>
      <c r="C275" s="4">
        <f>'Data - SKU Detail'!C264</f>
        <v>47.35</v>
      </c>
      <c r="D275" s="4">
        <f>'Data - SKU Detail'!F264</f>
        <v>26278</v>
      </c>
      <c r="E275" s="4">
        <f t="shared" si="36"/>
        <v>9.4700000000000006</v>
      </c>
      <c r="F275" s="4">
        <f t="shared" si="37"/>
        <v>2040.172053120961</v>
      </c>
      <c r="G275" s="4">
        <f>'Data - SKU Detail'!G264</f>
        <v>14.864445630707699</v>
      </c>
      <c r="H275" s="4">
        <f>'Data - SKU Detail'!H264</f>
        <v>9.8858460738782092</v>
      </c>
      <c r="I275" s="4">
        <f t="shared" si="38"/>
        <v>64.688189113730857</v>
      </c>
      <c r="J275" s="4">
        <f t="shared" si="39"/>
        <v>43.021952938168255</v>
      </c>
      <c r="K275" s="4">
        <f t="shared" si="40"/>
        <v>1084.7742156742113</v>
      </c>
      <c r="L275" s="4">
        <f t="shared" si="41"/>
        <v>1063.1079794986488</v>
      </c>
      <c r="M275" s="4">
        <f t="shared" si="42"/>
        <v>10272.811822434782</v>
      </c>
      <c r="N275" s="4">
        <f t="shared" si="43"/>
        <v>10067.632565852204</v>
      </c>
      <c r="O275" s="4">
        <f t="shared" si="44"/>
        <v>205.17925658257809</v>
      </c>
    </row>
    <row r="276" spans="1:15" x14ac:dyDescent="0.25">
      <c r="A276" s="4">
        <f>'Data - SKU Detail'!A265</f>
        <v>6</v>
      </c>
      <c r="B276" s="4">
        <f>'Data - SKU Detail'!B265</f>
        <v>14</v>
      </c>
      <c r="C276" s="4">
        <f>'Data - SKU Detail'!C265</f>
        <v>182.71</v>
      </c>
      <c r="D276" s="4">
        <f>'Data - SKU Detail'!F265</f>
        <v>18304</v>
      </c>
      <c r="E276" s="4">
        <f t="shared" si="36"/>
        <v>36.542000000000002</v>
      </c>
      <c r="F276" s="4">
        <f t="shared" si="37"/>
        <v>866.8071329074545</v>
      </c>
      <c r="G276" s="4">
        <f>'Data - SKU Detail'!G265</f>
        <v>11.146609099180701</v>
      </c>
      <c r="H276" s="4">
        <f>'Data - SKU Detail'!H265</f>
        <v>7.6098883609933399</v>
      </c>
      <c r="I276" s="4">
        <f t="shared" si="38"/>
        <v>48.508634314289246</v>
      </c>
      <c r="J276" s="4">
        <f t="shared" si="39"/>
        <v>33.117272561673026</v>
      </c>
      <c r="K276" s="4">
        <f t="shared" si="40"/>
        <v>481.91220076801648</v>
      </c>
      <c r="L276" s="4">
        <f t="shared" si="41"/>
        <v>466.52083901540027</v>
      </c>
      <c r="M276" s="4">
        <f t="shared" si="42"/>
        <v>17610.035640464859</v>
      </c>
      <c r="N276" s="4">
        <f t="shared" si="43"/>
        <v>17047.604499300756</v>
      </c>
      <c r="O276" s="4">
        <f t="shared" si="44"/>
        <v>562.43114116410288</v>
      </c>
    </row>
    <row r="277" spans="1:15" x14ac:dyDescent="0.25">
      <c r="A277" s="4">
        <f>'Data - SKU Detail'!A266</f>
        <v>6</v>
      </c>
      <c r="B277" s="4">
        <f>'Data - SKU Detail'!B266</f>
        <v>15</v>
      </c>
      <c r="C277" s="4">
        <f>'Data - SKU Detail'!C266</f>
        <v>40</v>
      </c>
      <c r="D277" s="4">
        <f>'Data - SKU Detail'!F266</f>
        <v>27148</v>
      </c>
      <c r="E277" s="4">
        <f t="shared" si="36"/>
        <v>8</v>
      </c>
      <c r="F277" s="4">
        <f t="shared" si="37"/>
        <v>2256.1582391312895</v>
      </c>
      <c r="G277" s="4">
        <f>'Data - SKU Detail'!G266</f>
        <v>12.298577833327199</v>
      </c>
      <c r="H277" s="4">
        <f>'Data - SKU Detail'!H266</f>
        <v>9.8587741694623094</v>
      </c>
      <c r="I277" s="4">
        <f t="shared" si="38"/>
        <v>53.521856682544225</v>
      </c>
      <c r="J277" s="4">
        <f t="shared" si="39"/>
        <v>42.904139430955659</v>
      </c>
      <c r="K277" s="4">
        <f t="shared" si="40"/>
        <v>1181.600976248189</v>
      </c>
      <c r="L277" s="4">
        <f t="shared" si="41"/>
        <v>1170.9832589966004</v>
      </c>
      <c r="M277" s="4">
        <f t="shared" si="42"/>
        <v>9452.807809985512</v>
      </c>
      <c r="N277" s="4">
        <f t="shared" si="43"/>
        <v>9367.8660719728032</v>
      </c>
      <c r="O277" s="4">
        <f t="shared" si="44"/>
        <v>84.941738012708811</v>
      </c>
    </row>
    <row r="278" spans="1:15" x14ac:dyDescent="0.25">
      <c r="A278" s="4">
        <f>'Data - SKU Detail'!A267</f>
        <v>6</v>
      </c>
      <c r="B278" s="4">
        <f>'Data - SKU Detail'!B267</f>
        <v>16</v>
      </c>
      <c r="C278" s="4">
        <f>'Data - SKU Detail'!C267</f>
        <v>1506.73</v>
      </c>
      <c r="D278" s="4">
        <f>'Data - SKU Detail'!F267</f>
        <v>7973</v>
      </c>
      <c r="E278" s="4">
        <f t="shared" si="36"/>
        <v>301.346</v>
      </c>
      <c r="F278" s="4">
        <f t="shared" si="37"/>
        <v>199.2158074512399</v>
      </c>
      <c r="G278" s="4">
        <f>'Data - SKU Detail'!G267</f>
        <v>6.0403465093632898</v>
      </c>
      <c r="H278" s="4">
        <f>'Data - SKU Detail'!H267</f>
        <v>3.9692899842181899</v>
      </c>
      <c r="I278" s="4">
        <f t="shared" si="38"/>
        <v>26.286824750661985</v>
      </c>
      <c r="J278" s="4">
        <f t="shared" si="39"/>
        <v>17.273848451899472</v>
      </c>
      <c r="K278" s="4">
        <f t="shared" si="40"/>
        <v>125.89472847628193</v>
      </c>
      <c r="L278" s="4">
        <f t="shared" si="41"/>
        <v>116.88175217751942</v>
      </c>
      <c r="M278" s="4">
        <f t="shared" si="42"/>
        <v>37937.872847413651</v>
      </c>
      <c r="N278" s="4">
        <f t="shared" si="43"/>
        <v>35221.848491686767</v>
      </c>
      <c r="O278" s="4">
        <f t="shared" si="44"/>
        <v>2716.0243557268841</v>
      </c>
    </row>
    <row r="279" spans="1:15" x14ac:dyDescent="0.25">
      <c r="A279" s="4">
        <f>'Data - SKU Detail'!A268</f>
        <v>6</v>
      </c>
      <c r="B279" s="4">
        <f>'Data - SKU Detail'!B268</f>
        <v>17</v>
      </c>
      <c r="C279" s="4">
        <f>'Data - SKU Detail'!C268</f>
        <v>834.61</v>
      </c>
      <c r="D279" s="4">
        <f>'Data - SKU Detail'!F268</f>
        <v>10114</v>
      </c>
      <c r="E279" s="4">
        <f t="shared" si="36"/>
        <v>166.92200000000003</v>
      </c>
      <c r="F279" s="4">
        <f t="shared" si="37"/>
        <v>301.47431313697433</v>
      </c>
      <c r="G279" s="4">
        <f>'Data - SKU Detail'!G268</f>
        <v>7.1535944142422698</v>
      </c>
      <c r="H279" s="4">
        <f>'Data - SKU Detail'!H268</f>
        <v>5.3848701539612103</v>
      </c>
      <c r="I279" s="4">
        <f t="shared" si="38"/>
        <v>31.131538962708081</v>
      </c>
      <c r="J279" s="4">
        <f t="shared" si="39"/>
        <v>23.434274477933787</v>
      </c>
      <c r="K279" s="4">
        <f t="shared" si="40"/>
        <v>181.86869553119524</v>
      </c>
      <c r="L279" s="4">
        <f t="shared" si="41"/>
        <v>174.17143104642096</v>
      </c>
      <c r="M279" s="4">
        <f t="shared" si="42"/>
        <v>30357.886395458176</v>
      </c>
      <c r="N279" s="4">
        <f t="shared" si="43"/>
        <v>29073.043613130685</v>
      </c>
      <c r="O279" s="4">
        <f t="shared" si="44"/>
        <v>1284.8427823274906</v>
      </c>
    </row>
    <row r="280" spans="1:15" x14ac:dyDescent="0.25">
      <c r="A280" s="4">
        <f>'Data - SKU Detail'!A269</f>
        <v>6</v>
      </c>
      <c r="B280" s="4">
        <f>'Data - SKU Detail'!B269</f>
        <v>18</v>
      </c>
      <c r="C280" s="4">
        <f>'Data - SKU Detail'!C269</f>
        <v>51.52</v>
      </c>
      <c r="D280" s="4">
        <f>'Data - SKU Detail'!F269</f>
        <v>26120</v>
      </c>
      <c r="E280" s="4">
        <f t="shared" si="36"/>
        <v>10.304000000000002</v>
      </c>
      <c r="F280" s="4">
        <f t="shared" si="37"/>
        <v>1949.9761106993428</v>
      </c>
      <c r="G280" s="4">
        <f>'Data - SKU Detail'!G269</f>
        <v>14.9730287857093</v>
      </c>
      <c r="H280" s="4">
        <f>'Data - SKU Detail'!H269</f>
        <v>9.4957650014122308</v>
      </c>
      <c r="I280" s="4">
        <f t="shared" si="38"/>
        <v>65.160729283732124</v>
      </c>
      <c r="J280" s="4">
        <f t="shared" si="39"/>
        <v>41.324369401434311</v>
      </c>
      <c r="K280" s="4">
        <f t="shared" si="40"/>
        <v>1040.1487846334035</v>
      </c>
      <c r="L280" s="4">
        <f t="shared" si="41"/>
        <v>1016.3124247511057</v>
      </c>
      <c r="M280" s="4">
        <f t="shared" si="42"/>
        <v>10717.693076862592</v>
      </c>
      <c r="N280" s="4">
        <f t="shared" si="43"/>
        <v>10472.083224635395</v>
      </c>
      <c r="O280" s="4">
        <f t="shared" si="44"/>
        <v>245.60985222719682</v>
      </c>
    </row>
    <row r="281" spans="1:15" x14ac:dyDescent="0.25">
      <c r="A281" s="4">
        <f>'Data - SKU Detail'!A270</f>
        <v>6</v>
      </c>
      <c r="B281" s="4">
        <f>'Data - SKU Detail'!B270</f>
        <v>19</v>
      </c>
      <c r="C281" s="4">
        <f>'Data - SKU Detail'!C270</f>
        <v>547.29999999999995</v>
      </c>
      <c r="D281" s="4">
        <f>'Data - SKU Detail'!F270</f>
        <v>12332</v>
      </c>
      <c r="E281" s="4">
        <f t="shared" si="36"/>
        <v>109.46</v>
      </c>
      <c r="F281" s="4">
        <f t="shared" si="37"/>
        <v>411.08787325772312</v>
      </c>
      <c r="G281" s="4">
        <f>'Data - SKU Detail'!G270</f>
        <v>8.5950462960558003</v>
      </c>
      <c r="H281" s="4">
        <f>'Data - SKU Detail'!H270</f>
        <v>6.1038614695948104</v>
      </c>
      <c r="I281" s="4">
        <f t="shared" si="38"/>
        <v>37.404555410524139</v>
      </c>
      <c r="J281" s="4">
        <f t="shared" si="39"/>
        <v>26.563233831840218</v>
      </c>
      <c r="K281" s="4">
        <f t="shared" si="40"/>
        <v>242.94849203938571</v>
      </c>
      <c r="L281" s="4">
        <f t="shared" si="41"/>
        <v>232.10717046070178</v>
      </c>
      <c r="M281" s="4">
        <f t="shared" si="42"/>
        <v>26593.141938631157</v>
      </c>
      <c r="N281" s="4">
        <f t="shared" si="43"/>
        <v>25406.450878628417</v>
      </c>
      <c r="O281" s="4">
        <f t="shared" si="44"/>
        <v>1186.6910600027404</v>
      </c>
    </row>
    <row r="282" spans="1:15" x14ac:dyDescent="0.25">
      <c r="A282" s="4">
        <f>'Data - SKU Detail'!A271</f>
        <v>6</v>
      </c>
      <c r="B282" s="4">
        <f>'Data - SKU Detail'!B271</f>
        <v>20</v>
      </c>
      <c r="C282" s="4">
        <f>'Data - SKU Detail'!C271</f>
        <v>424.89</v>
      </c>
      <c r="D282" s="4">
        <f>'Data - SKU Detail'!F271</f>
        <v>14598</v>
      </c>
      <c r="E282" s="4">
        <f t="shared" si="36"/>
        <v>84.978000000000009</v>
      </c>
      <c r="F282" s="4">
        <f t="shared" si="37"/>
        <v>507.62038764594877</v>
      </c>
      <c r="G282" s="4">
        <f>'Data - SKU Detail'!G271</f>
        <v>8.9114130400180702</v>
      </c>
      <c r="H282" s="4">
        <f>'Data - SKU Detail'!H271</f>
        <v>6.2108198411215803</v>
      </c>
      <c r="I282" s="4">
        <f t="shared" si="38"/>
        <v>38.781343504151295</v>
      </c>
      <c r="J282" s="4">
        <f t="shared" si="39"/>
        <v>27.028703149466626</v>
      </c>
      <c r="K282" s="4">
        <f t="shared" si="40"/>
        <v>292.59153732712571</v>
      </c>
      <c r="L282" s="4">
        <f t="shared" si="41"/>
        <v>280.83889697244103</v>
      </c>
      <c r="M282" s="4">
        <f t="shared" si="42"/>
        <v>24863.84365898449</v>
      </c>
      <c r="N282" s="4">
        <f t="shared" si="43"/>
        <v>23865.127786924095</v>
      </c>
      <c r="O282" s="4">
        <f t="shared" si="44"/>
        <v>998.71587206039476</v>
      </c>
    </row>
    <row r="283" spans="1:15" x14ac:dyDescent="0.25">
      <c r="A283" s="4">
        <f>'Data - SKU Detail'!A272</f>
        <v>6</v>
      </c>
      <c r="B283" s="4">
        <f>'Data - SKU Detail'!B272</f>
        <v>21</v>
      </c>
      <c r="C283" s="4">
        <f>'Data - SKU Detail'!C272</f>
        <v>647.92999999999995</v>
      </c>
      <c r="D283" s="4">
        <f>'Data - SKU Detail'!F272</f>
        <v>12490</v>
      </c>
      <c r="E283" s="4">
        <f t="shared" si="36"/>
        <v>129.58599999999998</v>
      </c>
      <c r="F283" s="4">
        <f t="shared" si="37"/>
        <v>380.23124929662976</v>
      </c>
      <c r="G283" s="4">
        <f>'Data - SKU Detail'!G272</f>
        <v>8.5683990903675102</v>
      </c>
      <c r="H283" s="4">
        <f>'Data - SKU Detail'!H272</f>
        <v>6.0236374130323798</v>
      </c>
      <c r="I283" s="4">
        <f t="shared" si="38"/>
        <v>37.288590138509178</v>
      </c>
      <c r="J283" s="4">
        <f t="shared" si="39"/>
        <v>26.214108874791005</v>
      </c>
      <c r="K283" s="4">
        <f t="shared" si="40"/>
        <v>227.40421478682407</v>
      </c>
      <c r="L283" s="4">
        <f t="shared" si="41"/>
        <v>216.32973352310589</v>
      </c>
      <c r="M283" s="4">
        <f t="shared" si="42"/>
        <v>29468.402577365381</v>
      </c>
      <c r="N283" s="4">
        <f t="shared" si="43"/>
        <v>28033.304848325195</v>
      </c>
      <c r="O283" s="4">
        <f t="shared" si="44"/>
        <v>1435.0977290401861</v>
      </c>
    </row>
    <row r="284" spans="1:15" x14ac:dyDescent="0.25">
      <c r="A284" s="4">
        <f>'Data - SKU Detail'!A273</f>
        <v>6</v>
      </c>
      <c r="B284" s="4">
        <f>'Data - SKU Detail'!B273</f>
        <v>22</v>
      </c>
      <c r="C284" s="4">
        <f>'Data - SKU Detail'!C273</f>
        <v>72.209999999999994</v>
      </c>
      <c r="D284" s="4">
        <f>'Data - SKU Detail'!F273</f>
        <v>24736</v>
      </c>
      <c r="E284" s="4">
        <f t="shared" si="36"/>
        <v>14.442</v>
      </c>
      <c r="F284" s="4">
        <f t="shared" si="37"/>
        <v>1602.8640755544275</v>
      </c>
      <c r="G284" s="4">
        <f>'Data - SKU Detail'!G273</f>
        <v>14.0381153050786</v>
      </c>
      <c r="H284" s="4">
        <f>'Data - SKU Detail'!H273</f>
        <v>9.0695270908232892</v>
      </c>
      <c r="I284" s="4">
        <f t="shared" si="38"/>
        <v>61.092103951679576</v>
      </c>
      <c r="J284" s="4">
        <f t="shared" si="39"/>
        <v>39.469435873966709</v>
      </c>
      <c r="K284" s="4">
        <f t="shared" si="40"/>
        <v>862.52414172889326</v>
      </c>
      <c r="L284" s="4">
        <f t="shared" si="41"/>
        <v>840.90147365118048</v>
      </c>
      <c r="M284" s="4">
        <f t="shared" si="42"/>
        <v>12456.573654848677</v>
      </c>
      <c r="N284" s="4">
        <f t="shared" si="43"/>
        <v>12144.299082470348</v>
      </c>
      <c r="O284" s="4">
        <f t="shared" si="44"/>
        <v>312.27457237832823</v>
      </c>
    </row>
    <row r="285" spans="1:15" x14ac:dyDescent="0.25">
      <c r="A285" s="4">
        <f>'Data - SKU Detail'!A274</f>
        <v>6</v>
      </c>
      <c r="B285" s="4">
        <f>'Data - SKU Detail'!B274</f>
        <v>23</v>
      </c>
      <c r="C285" s="4">
        <f>'Data - SKU Detail'!C274</f>
        <v>1075.06</v>
      </c>
      <c r="D285" s="4">
        <f>'Data - SKU Detail'!F274</f>
        <v>9058</v>
      </c>
      <c r="E285" s="4">
        <f t="shared" si="36"/>
        <v>215.012</v>
      </c>
      <c r="F285" s="4">
        <f t="shared" si="37"/>
        <v>251.37983580988276</v>
      </c>
      <c r="G285" s="4">
        <f>'Data - SKU Detail'!G274</f>
        <v>7.7444476357575702</v>
      </c>
      <c r="H285" s="4">
        <f>'Data - SKU Detail'!H274</f>
        <v>5.43900258014959</v>
      </c>
      <c r="I285" s="4">
        <f t="shared" si="38"/>
        <v>33.702857522539176</v>
      </c>
      <c r="J285" s="4">
        <f t="shared" si="39"/>
        <v>23.669851956533115</v>
      </c>
      <c r="K285" s="4">
        <f t="shared" si="40"/>
        <v>159.39277542748056</v>
      </c>
      <c r="L285" s="4">
        <f t="shared" si="41"/>
        <v>149.35976986147449</v>
      </c>
      <c r="M285" s="4">
        <f t="shared" si="42"/>
        <v>34271.359430213452</v>
      </c>
      <c r="N285" s="4">
        <f t="shared" si="43"/>
        <v>32114.142837455354</v>
      </c>
      <c r="O285" s="4">
        <f t="shared" si="44"/>
        <v>2157.2165927580972</v>
      </c>
    </row>
    <row r="286" spans="1:15" x14ac:dyDescent="0.25">
      <c r="A286" s="4">
        <f>'Data - SKU Detail'!A275</f>
        <v>6</v>
      </c>
      <c r="B286" s="4">
        <f>'Data - SKU Detail'!B275</f>
        <v>24</v>
      </c>
      <c r="C286" s="4">
        <f>'Data - SKU Detail'!C275</f>
        <v>141.85</v>
      </c>
      <c r="D286" s="4">
        <f>'Data - SKU Detail'!F275</f>
        <v>20667</v>
      </c>
      <c r="E286" s="4">
        <f t="shared" si="36"/>
        <v>28.37</v>
      </c>
      <c r="F286" s="4">
        <f t="shared" si="37"/>
        <v>1045.3330494869399</v>
      </c>
      <c r="G286" s="4">
        <f>'Data - SKU Detail'!G275</f>
        <v>12.2873454455559</v>
      </c>
      <c r="H286" s="4">
        <f>'Data - SKU Detail'!H275</f>
        <v>7.8571148397594701</v>
      </c>
      <c r="I286" s="4">
        <f t="shared" si="38"/>
        <v>53.472974750287868</v>
      </c>
      <c r="J286" s="4">
        <f t="shared" si="39"/>
        <v>34.193170957729372</v>
      </c>
      <c r="K286" s="4">
        <f t="shared" si="40"/>
        <v>576.13949949375785</v>
      </c>
      <c r="L286" s="4">
        <f t="shared" si="41"/>
        <v>556.85969570119937</v>
      </c>
      <c r="M286" s="4">
        <f t="shared" si="42"/>
        <v>16345.077600637911</v>
      </c>
      <c r="N286" s="4">
        <f t="shared" si="43"/>
        <v>15798.109567043026</v>
      </c>
      <c r="O286" s="4">
        <f t="shared" si="44"/>
        <v>546.96803359488513</v>
      </c>
    </row>
    <row r="287" spans="1:15" x14ac:dyDescent="0.25">
      <c r="A287" s="4">
        <f>'Data - SKU Detail'!A276</f>
        <v>6</v>
      </c>
      <c r="B287" s="4">
        <f>'Data - SKU Detail'!B276</f>
        <v>25</v>
      </c>
      <c r="C287" s="4">
        <f>'Data - SKU Detail'!C276</f>
        <v>56.06</v>
      </c>
      <c r="D287" s="4">
        <f>'Data - SKU Detail'!F276</f>
        <v>24984</v>
      </c>
      <c r="E287" s="4">
        <f t="shared" si="36"/>
        <v>11.212000000000002</v>
      </c>
      <c r="F287" s="4">
        <f t="shared" si="37"/>
        <v>1828.2478467328015</v>
      </c>
      <c r="G287" s="4">
        <f>'Data - SKU Detail'!G276</f>
        <v>12.1622059947357</v>
      </c>
      <c r="H287" s="4">
        <f>'Data - SKU Detail'!H276</f>
        <v>8.7920007832999207</v>
      </c>
      <c r="I287" s="4">
        <f t="shared" si="38"/>
        <v>52.928383672937336</v>
      </c>
      <c r="J287" s="4">
        <f t="shared" si="39"/>
        <v>38.261676451844735</v>
      </c>
      <c r="K287" s="4">
        <f t="shared" si="40"/>
        <v>967.05230703933807</v>
      </c>
      <c r="L287" s="4">
        <f t="shared" si="41"/>
        <v>952.38559981824551</v>
      </c>
      <c r="M287" s="4">
        <f t="shared" si="42"/>
        <v>10842.59046652506</v>
      </c>
      <c r="N287" s="4">
        <f t="shared" si="43"/>
        <v>10678.14734516217</v>
      </c>
      <c r="O287" s="4">
        <f t="shared" si="44"/>
        <v>164.44312136289045</v>
      </c>
    </row>
    <row r="288" spans="1:15" x14ac:dyDescent="0.25">
      <c r="A288" s="4">
        <f>'Data - SKU Detail'!A277</f>
        <v>6</v>
      </c>
      <c r="B288" s="4">
        <f>'Data - SKU Detail'!B277</f>
        <v>26</v>
      </c>
      <c r="C288" s="4">
        <f>'Data - SKU Detail'!C277</f>
        <v>390.5</v>
      </c>
      <c r="D288" s="4">
        <f>'Data - SKU Detail'!F277</f>
        <v>14705</v>
      </c>
      <c r="E288" s="4">
        <f t="shared" si="36"/>
        <v>78.100000000000009</v>
      </c>
      <c r="F288" s="4">
        <f t="shared" si="37"/>
        <v>531.43802690479436</v>
      </c>
      <c r="G288" s="4">
        <f>'Data - SKU Detail'!G277</f>
        <v>11.107239066262499</v>
      </c>
      <c r="H288" s="4">
        <f>'Data - SKU Detail'!H277</f>
        <v>6.9704068908949903</v>
      </c>
      <c r="I288" s="4">
        <f t="shared" si="38"/>
        <v>48.337300905825956</v>
      </c>
      <c r="J288" s="4">
        <f t="shared" si="39"/>
        <v>30.334330008673206</v>
      </c>
      <c r="K288" s="4">
        <f t="shared" si="40"/>
        <v>314.05631435822312</v>
      </c>
      <c r="L288" s="4">
        <f t="shared" si="41"/>
        <v>296.05334346107037</v>
      </c>
      <c r="M288" s="4">
        <f t="shared" si="42"/>
        <v>24527.798151377228</v>
      </c>
      <c r="N288" s="4">
        <f t="shared" si="43"/>
        <v>23121.766124309597</v>
      </c>
      <c r="O288" s="4">
        <f t="shared" si="44"/>
        <v>1406.0320270676311</v>
      </c>
    </row>
    <row r="289" spans="1:15" x14ac:dyDescent="0.25">
      <c r="A289" s="4">
        <f>'Data - SKU Detail'!A278</f>
        <v>6</v>
      </c>
      <c r="B289" s="4">
        <f>'Data - SKU Detail'!B278</f>
        <v>27</v>
      </c>
      <c r="C289" s="4">
        <f>'Data - SKU Detail'!C278</f>
        <v>1639.41</v>
      </c>
      <c r="D289" s="4">
        <f>'Data - SKU Detail'!F278</f>
        <v>6872</v>
      </c>
      <c r="E289" s="4">
        <f t="shared" si="36"/>
        <v>327.88200000000006</v>
      </c>
      <c r="F289" s="4">
        <f t="shared" si="37"/>
        <v>177.30803515524286</v>
      </c>
      <c r="G289" s="4">
        <f>'Data - SKU Detail'!G278</f>
        <v>5.6144968831442199</v>
      </c>
      <c r="H289" s="4">
        <f>'Data - SKU Detail'!H278</f>
        <v>4.0752535254986002</v>
      </c>
      <c r="I289" s="4">
        <f t="shared" si="38"/>
        <v>24.433580987708464</v>
      </c>
      <c r="J289" s="4">
        <f t="shared" si="39"/>
        <v>17.734988394000457</v>
      </c>
      <c r="K289" s="4">
        <f t="shared" si="40"/>
        <v>113.0875985653299</v>
      </c>
      <c r="L289" s="4">
        <f t="shared" si="41"/>
        <v>106.38900597162188</v>
      </c>
      <c r="M289" s="4">
        <f t="shared" si="42"/>
        <v>37079.387992797507</v>
      </c>
      <c r="N289" s="4">
        <f t="shared" si="43"/>
        <v>34883.040055987331</v>
      </c>
      <c r="O289" s="4">
        <f t="shared" si="44"/>
        <v>2196.3479368101762</v>
      </c>
    </row>
    <row r="290" spans="1:15" x14ac:dyDescent="0.25">
      <c r="A290" s="4">
        <f>'Data - SKU Detail'!A279</f>
        <v>6</v>
      </c>
      <c r="B290" s="4">
        <f>'Data - SKU Detail'!B279</f>
        <v>28</v>
      </c>
      <c r="C290" s="4">
        <f>'Data - SKU Detail'!C279</f>
        <v>43.52</v>
      </c>
      <c r="D290" s="4">
        <f>'Data - SKU Detail'!F279</f>
        <v>27104</v>
      </c>
      <c r="E290" s="4">
        <f t="shared" si="36"/>
        <v>8.7040000000000006</v>
      </c>
      <c r="F290" s="4">
        <f t="shared" si="37"/>
        <v>2161.2394319817831</v>
      </c>
      <c r="G290" s="4">
        <f>'Data - SKU Detail'!G279</f>
        <v>14.792270808798801</v>
      </c>
      <c r="H290" s="4">
        <f>'Data - SKU Detail'!H279</f>
        <v>9.1661695949141393</v>
      </c>
      <c r="I290" s="4">
        <f t="shared" si="38"/>
        <v>64.37409340879266</v>
      </c>
      <c r="J290" s="4">
        <f t="shared" si="39"/>
        <v>39.89001184002484</v>
      </c>
      <c r="K290" s="4">
        <f t="shared" si="40"/>
        <v>1144.9938093996843</v>
      </c>
      <c r="L290" s="4">
        <f t="shared" si="41"/>
        <v>1120.5097278309163</v>
      </c>
      <c r="M290" s="4">
        <f t="shared" si="42"/>
        <v>9966.0261170148533</v>
      </c>
      <c r="N290" s="4">
        <f t="shared" si="43"/>
        <v>9752.9166710402969</v>
      </c>
      <c r="O290" s="4">
        <f t="shared" si="44"/>
        <v>213.10944597455637</v>
      </c>
    </row>
    <row r="291" spans="1:15" x14ac:dyDescent="0.25">
      <c r="A291" s="4">
        <f>'Data - SKU Detail'!A280</f>
        <v>6</v>
      </c>
      <c r="B291" s="4">
        <f>'Data - SKU Detail'!B280</f>
        <v>29</v>
      </c>
      <c r="C291" s="4">
        <f>'Data - SKU Detail'!C280</f>
        <v>119.82</v>
      </c>
      <c r="D291" s="4">
        <f>'Data - SKU Detail'!F280</f>
        <v>21630</v>
      </c>
      <c r="E291" s="4">
        <f t="shared" si="36"/>
        <v>23.963999999999999</v>
      </c>
      <c r="F291" s="4">
        <f t="shared" si="37"/>
        <v>1163.5746038772857</v>
      </c>
      <c r="G291" s="4">
        <f>'Data - SKU Detail'!G280</f>
        <v>11.5883774583235</v>
      </c>
      <c r="H291" s="4">
        <f>'Data - SKU Detail'!H280</f>
        <v>7.6971969803671003</v>
      </c>
      <c r="I291" s="4">
        <f t="shared" si="38"/>
        <v>50.431154391436003</v>
      </c>
      <c r="J291" s="4">
        <f t="shared" si="39"/>
        <v>33.497228640871896</v>
      </c>
      <c r="K291" s="4">
        <f t="shared" si="40"/>
        <v>632.21845633007888</v>
      </c>
      <c r="L291" s="4">
        <f t="shared" si="41"/>
        <v>615.28453057951469</v>
      </c>
      <c r="M291" s="4">
        <f t="shared" si="42"/>
        <v>15150.483087494009</v>
      </c>
      <c r="N291" s="4">
        <f t="shared" si="43"/>
        <v>14744.67849080749</v>
      </c>
      <c r="O291" s="4">
        <f t="shared" si="44"/>
        <v>405.80459668651929</v>
      </c>
    </row>
    <row r="292" spans="1:15" x14ac:dyDescent="0.25">
      <c r="A292" s="4">
        <f>'Data - SKU Detail'!A281</f>
        <v>6</v>
      </c>
      <c r="B292" s="4">
        <f>'Data - SKU Detail'!B281</f>
        <v>30</v>
      </c>
      <c r="C292" s="4">
        <f>'Data - SKU Detail'!C281</f>
        <v>595.5</v>
      </c>
      <c r="D292" s="4">
        <f>'Data - SKU Detail'!F281</f>
        <v>12272</v>
      </c>
      <c r="E292" s="4">
        <f t="shared" si="36"/>
        <v>119.10000000000001</v>
      </c>
      <c r="F292" s="4">
        <f t="shared" si="37"/>
        <v>393.14017087377363</v>
      </c>
      <c r="G292" s="4">
        <f>'Data - SKU Detail'!G281</f>
        <v>7.4774066446195997</v>
      </c>
      <c r="H292" s="4">
        <f>'Data - SKU Detail'!H281</f>
        <v>5.2570471996270802</v>
      </c>
      <c r="I292" s="4">
        <f t="shared" si="38"/>
        <v>32.540728872402042</v>
      </c>
      <c r="J292" s="4">
        <f t="shared" si="39"/>
        <v>22.878005132378089</v>
      </c>
      <c r="K292" s="4">
        <f t="shared" si="40"/>
        <v>229.11081430928886</v>
      </c>
      <c r="L292" s="4">
        <f t="shared" si="41"/>
        <v>219.44809056926491</v>
      </c>
      <c r="M292" s="4">
        <f t="shared" si="42"/>
        <v>27287.097984236305</v>
      </c>
      <c r="N292" s="4">
        <f t="shared" si="43"/>
        <v>26136.267586799451</v>
      </c>
      <c r="O292" s="4">
        <f t="shared" si="44"/>
        <v>1150.8303974368537</v>
      </c>
    </row>
    <row r="293" spans="1:15" x14ac:dyDescent="0.25">
      <c r="A293" s="4">
        <f>'Data - SKU Detail'!A282</f>
        <v>6</v>
      </c>
      <c r="B293" s="4">
        <f>'Data - SKU Detail'!B282</f>
        <v>31</v>
      </c>
      <c r="C293" s="4">
        <f>'Data - SKU Detail'!C282</f>
        <v>198.8</v>
      </c>
      <c r="D293" s="4">
        <f>'Data - SKU Detail'!F282</f>
        <v>18407</v>
      </c>
      <c r="E293" s="4">
        <f t="shared" si="36"/>
        <v>39.760000000000005</v>
      </c>
      <c r="F293" s="4">
        <f t="shared" si="37"/>
        <v>833.32411128364697</v>
      </c>
      <c r="G293" s="4">
        <f>'Data - SKU Detail'!G282</f>
        <v>9.5738635292265499</v>
      </c>
      <c r="H293" s="4">
        <f>'Data - SKU Detail'!H282</f>
        <v>6.8533389201583104</v>
      </c>
      <c r="I293" s="4">
        <f t="shared" si="38"/>
        <v>41.664244325953518</v>
      </c>
      <c r="J293" s="4">
        <f t="shared" si="39"/>
        <v>29.82486499273406</v>
      </c>
      <c r="K293" s="4">
        <f t="shared" si="40"/>
        <v>458.326299967777</v>
      </c>
      <c r="L293" s="4">
        <f t="shared" si="41"/>
        <v>446.48692063455752</v>
      </c>
      <c r="M293" s="4">
        <f t="shared" si="42"/>
        <v>18223.053686718817</v>
      </c>
      <c r="N293" s="4">
        <f t="shared" si="43"/>
        <v>17752.319964430008</v>
      </c>
      <c r="O293" s="4">
        <f t="shared" si="44"/>
        <v>470.73372228880908</v>
      </c>
    </row>
    <row r="294" spans="1:15" x14ac:dyDescent="0.25">
      <c r="A294" s="4">
        <f>'Data - SKU Detail'!A283</f>
        <v>6</v>
      </c>
      <c r="B294" s="4">
        <f>'Data - SKU Detail'!B283</f>
        <v>32</v>
      </c>
      <c r="C294" s="4">
        <f>'Data - SKU Detail'!C283</f>
        <v>462.3</v>
      </c>
      <c r="D294" s="4">
        <f>'Data - SKU Detail'!F283</f>
        <v>13656</v>
      </c>
      <c r="E294" s="4">
        <f t="shared" si="36"/>
        <v>92.460000000000008</v>
      </c>
      <c r="F294" s="4">
        <f t="shared" si="37"/>
        <v>470.68508756361678</v>
      </c>
      <c r="G294" s="4">
        <f>'Data - SKU Detail'!G283</f>
        <v>10.1552450208426</v>
      </c>
      <c r="H294" s="4">
        <f>'Data - SKU Detail'!H283</f>
        <v>6.9262110058778799</v>
      </c>
      <c r="I294" s="4">
        <f t="shared" si="38"/>
        <v>44.194343114110701</v>
      </c>
      <c r="J294" s="4">
        <f t="shared" si="39"/>
        <v>30.141995101670059</v>
      </c>
      <c r="K294" s="4">
        <f t="shared" si="40"/>
        <v>279.53688689591911</v>
      </c>
      <c r="L294" s="4">
        <f t="shared" si="41"/>
        <v>265.48453888347842</v>
      </c>
      <c r="M294" s="4">
        <f t="shared" si="42"/>
        <v>25845.980562396682</v>
      </c>
      <c r="N294" s="4">
        <f t="shared" si="43"/>
        <v>24546.700465166417</v>
      </c>
      <c r="O294" s="4">
        <f t="shared" si="44"/>
        <v>1299.2800972302648</v>
      </c>
    </row>
    <row r="295" spans="1:15" x14ac:dyDescent="0.25">
      <c r="A295" s="4">
        <f>'Data - SKU Detail'!A284</f>
        <v>6</v>
      </c>
      <c r="B295" s="4">
        <f>'Data - SKU Detail'!B284</f>
        <v>33</v>
      </c>
      <c r="C295" s="4">
        <f>'Data - SKU Detail'!C284</f>
        <v>130.37</v>
      </c>
      <c r="D295" s="4">
        <f>'Data - SKU Detail'!F284</f>
        <v>21517</v>
      </c>
      <c r="E295" s="4">
        <f t="shared" si="36"/>
        <v>26.074000000000002</v>
      </c>
      <c r="F295" s="4">
        <f t="shared" si="37"/>
        <v>1112.5836125912156</v>
      </c>
      <c r="G295" s="4">
        <f>'Data - SKU Detail'!G284</f>
        <v>11.930079783100799</v>
      </c>
      <c r="H295" s="4">
        <f>'Data - SKU Detail'!H284</f>
        <v>7.6880535754892199</v>
      </c>
      <c r="I295" s="4">
        <f t="shared" si="38"/>
        <v>51.918199731366592</v>
      </c>
      <c r="J295" s="4">
        <f t="shared" si="39"/>
        <v>33.457437698203854</v>
      </c>
      <c r="K295" s="4">
        <f t="shared" si="40"/>
        <v>608.21000602697438</v>
      </c>
      <c r="L295" s="4">
        <f t="shared" si="41"/>
        <v>589.74924399381166</v>
      </c>
      <c r="M295" s="4">
        <f t="shared" si="42"/>
        <v>15858.467697147331</v>
      </c>
      <c r="N295" s="4">
        <f t="shared" si="43"/>
        <v>15377.121787894646</v>
      </c>
      <c r="O295" s="4">
        <f t="shared" si="44"/>
        <v>481.34590925268458</v>
      </c>
    </row>
    <row r="296" spans="1:15" x14ac:dyDescent="0.25">
      <c r="A296" s="4">
        <f>'Data - SKU Detail'!A285</f>
        <v>6</v>
      </c>
      <c r="B296" s="4">
        <f>'Data - SKU Detail'!B285</f>
        <v>34</v>
      </c>
      <c r="C296" s="4">
        <f>'Data - SKU Detail'!C285</f>
        <v>1384.8</v>
      </c>
      <c r="D296" s="4">
        <f>'Data - SKU Detail'!F285</f>
        <v>7947</v>
      </c>
      <c r="E296" s="4">
        <f t="shared" si="36"/>
        <v>276.95999999999998</v>
      </c>
      <c r="F296" s="4">
        <f t="shared" si="37"/>
        <v>207.46207187137762</v>
      </c>
      <c r="G296" s="4">
        <f>'Data - SKU Detail'!G285</f>
        <v>5.99803877804995</v>
      </c>
      <c r="H296" s="4">
        <f>'Data - SKU Detail'!H285</f>
        <v>4.1938686402512104</v>
      </c>
      <c r="I296" s="4">
        <f t="shared" si="38"/>
        <v>26.102706849990575</v>
      </c>
      <c r="J296" s="4">
        <f t="shared" si="39"/>
        <v>18.251186385199837</v>
      </c>
      <c r="K296" s="4">
        <f t="shared" si="40"/>
        <v>129.83374278567939</v>
      </c>
      <c r="L296" s="4">
        <f t="shared" si="41"/>
        <v>121.98222232088864</v>
      </c>
      <c r="M296" s="4">
        <f t="shared" si="42"/>
        <v>35958.753401921764</v>
      </c>
      <c r="N296" s="4">
        <f t="shared" si="43"/>
        <v>33784.196293993315</v>
      </c>
      <c r="O296" s="4">
        <f t="shared" si="44"/>
        <v>2174.5571079284491</v>
      </c>
    </row>
    <row r="297" spans="1:15" x14ac:dyDescent="0.25">
      <c r="A297" s="4">
        <f>'Data - SKU Detail'!A286</f>
        <v>6</v>
      </c>
      <c r="B297" s="4">
        <f>'Data - SKU Detail'!B286</f>
        <v>35</v>
      </c>
      <c r="C297" s="4">
        <f>'Data - SKU Detail'!C286</f>
        <v>167.93</v>
      </c>
      <c r="D297" s="4">
        <f>'Data - SKU Detail'!F286</f>
        <v>20304</v>
      </c>
      <c r="E297" s="4">
        <f t="shared" si="36"/>
        <v>33.586000000000006</v>
      </c>
      <c r="F297" s="4">
        <f t="shared" si="37"/>
        <v>952.26383289068986</v>
      </c>
      <c r="G297" s="4">
        <f>'Data - SKU Detail'!G286</f>
        <v>11.150300110157801</v>
      </c>
      <c r="H297" s="4">
        <f>'Data - SKU Detail'!H286</f>
        <v>6.78824887140577</v>
      </c>
      <c r="I297" s="4">
        <f t="shared" si="38"/>
        <v>48.524697127665497</v>
      </c>
      <c r="J297" s="4">
        <f t="shared" si="39"/>
        <v>29.541601325340512</v>
      </c>
      <c r="K297" s="4">
        <f t="shared" si="40"/>
        <v>524.65661357301042</v>
      </c>
      <c r="L297" s="4">
        <f t="shared" si="41"/>
        <v>505.67351777068546</v>
      </c>
      <c r="M297" s="4">
        <f t="shared" si="42"/>
        <v>17621.117023463132</v>
      </c>
      <c r="N297" s="4">
        <f t="shared" si="43"/>
        <v>16983.550767846245</v>
      </c>
      <c r="O297" s="4">
        <f t="shared" si="44"/>
        <v>637.56625561688634</v>
      </c>
    </row>
    <row r="298" spans="1:15" x14ac:dyDescent="0.25">
      <c r="A298" s="4">
        <f>'Data - SKU Detail'!A287</f>
        <v>6</v>
      </c>
      <c r="B298" s="4">
        <f>'Data - SKU Detail'!B287</f>
        <v>36</v>
      </c>
      <c r="C298" s="4">
        <f>'Data - SKU Detail'!C287</f>
        <v>78.569999999999993</v>
      </c>
      <c r="D298" s="4">
        <f>'Data - SKU Detail'!F287</f>
        <v>23740</v>
      </c>
      <c r="E298" s="4">
        <f t="shared" si="36"/>
        <v>15.713999999999999</v>
      </c>
      <c r="F298" s="4">
        <f t="shared" si="37"/>
        <v>1505.3677661930112</v>
      </c>
      <c r="G298" s="4">
        <f>'Data - SKU Detail'!G287</f>
        <v>12.016924480116399</v>
      </c>
      <c r="H298" s="4">
        <f>'Data - SKU Detail'!H287</f>
        <v>7.7885345690755399</v>
      </c>
      <c r="I298" s="4">
        <f t="shared" si="38"/>
        <v>52.296136879083974</v>
      </c>
      <c r="J298" s="4">
        <f t="shared" si="39"/>
        <v>33.894718285514799</v>
      </c>
      <c r="K298" s="4">
        <f t="shared" si="40"/>
        <v>804.98001997558958</v>
      </c>
      <c r="L298" s="4">
        <f t="shared" si="41"/>
        <v>786.57860138202045</v>
      </c>
      <c r="M298" s="4">
        <f t="shared" si="42"/>
        <v>12649.456033896413</v>
      </c>
      <c r="N298" s="4">
        <f t="shared" si="43"/>
        <v>12360.296142117068</v>
      </c>
      <c r="O298" s="4">
        <f t="shared" si="44"/>
        <v>289.15989177934534</v>
      </c>
    </row>
    <row r="299" spans="1:15" x14ac:dyDescent="0.25">
      <c r="A299" s="4">
        <f>'Data - SKU Detail'!A288</f>
        <v>6</v>
      </c>
      <c r="B299" s="4">
        <f>'Data - SKU Detail'!B288</f>
        <v>37</v>
      </c>
      <c r="C299" s="4">
        <f>'Data - SKU Detail'!C288</f>
        <v>1169.73</v>
      </c>
      <c r="D299" s="4">
        <f>'Data - SKU Detail'!F288</f>
        <v>9031</v>
      </c>
      <c r="E299" s="4">
        <f t="shared" si="36"/>
        <v>233.94600000000003</v>
      </c>
      <c r="F299" s="4">
        <f t="shared" si="37"/>
        <v>240.63330648966053</v>
      </c>
      <c r="G299" s="4">
        <f>'Data - SKU Detail'!G288</f>
        <v>6.0244267073650102</v>
      </c>
      <c r="H299" s="4">
        <f>'Data - SKU Detail'!H288</f>
        <v>4.1355299163278101</v>
      </c>
      <c r="I299" s="4">
        <f t="shared" si="38"/>
        <v>26.217543783991395</v>
      </c>
      <c r="J299" s="4">
        <f t="shared" si="39"/>
        <v>17.997303630365412</v>
      </c>
      <c r="K299" s="4">
        <f t="shared" si="40"/>
        <v>146.53419702882167</v>
      </c>
      <c r="L299" s="4">
        <f t="shared" si="41"/>
        <v>138.31395687519569</v>
      </c>
      <c r="M299" s="4">
        <f t="shared" si="42"/>
        <v>34281.089258104716</v>
      </c>
      <c r="N299" s="4">
        <f t="shared" si="43"/>
        <v>32357.996955124534</v>
      </c>
      <c r="O299" s="4">
        <f t="shared" si="44"/>
        <v>1923.0923029801816</v>
      </c>
    </row>
    <row r="300" spans="1:15" x14ac:dyDescent="0.25">
      <c r="A300" s="4">
        <f>'Data - SKU Detail'!A289</f>
        <v>6</v>
      </c>
      <c r="B300" s="4">
        <f>'Data - SKU Detail'!B289</f>
        <v>38</v>
      </c>
      <c r="C300" s="4">
        <f>'Data - SKU Detail'!C289</f>
        <v>66.37</v>
      </c>
      <c r="D300" s="4">
        <f>'Data - SKU Detail'!F289</f>
        <v>24953</v>
      </c>
      <c r="E300" s="4">
        <f t="shared" si="36"/>
        <v>13.274000000000001</v>
      </c>
      <c r="F300" s="4">
        <f t="shared" si="37"/>
        <v>1679.2142311006635</v>
      </c>
      <c r="G300" s="4">
        <f>'Data - SKU Detail'!G289</f>
        <v>13.4876693346281</v>
      </c>
      <c r="H300" s="4">
        <f>'Data - SKU Detail'!H289</f>
        <v>9.4839791056630496</v>
      </c>
      <c r="I300" s="4">
        <f t="shared" si="38"/>
        <v>58.696632642622902</v>
      </c>
      <c r="J300" s="4">
        <f t="shared" si="39"/>
        <v>41.273078672399471</v>
      </c>
      <c r="K300" s="4">
        <f t="shared" si="40"/>
        <v>898.30374819295469</v>
      </c>
      <c r="L300" s="4">
        <f t="shared" si="41"/>
        <v>880.88019422273123</v>
      </c>
      <c r="M300" s="4">
        <f t="shared" si="42"/>
        <v>11924.083953513282</v>
      </c>
      <c r="N300" s="4">
        <f t="shared" si="43"/>
        <v>11692.803698112535</v>
      </c>
      <c r="O300" s="4">
        <f t="shared" si="44"/>
        <v>231.28025540074668</v>
      </c>
    </row>
    <row r="301" spans="1:15" x14ac:dyDescent="0.25">
      <c r="A301" s="4">
        <f>'Data - SKU Detail'!A290</f>
        <v>6</v>
      </c>
      <c r="B301" s="4">
        <f>'Data - SKU Detail'!B290</f>
        <v>39</v>
      </c>
      <c r="C301" s="4">
        <f>'Data - SKU Detail'!C290</f>
        <v>503.01</v>
      </c>
      <c r="D301" s="4">
        <f>'Data - SKU Detail'!F290</f>
        <v>13430</v>
      </c>
      <c r="E301" s="4">
        <f t="shared" si="36"/>
        <v>100.602</v>
      </c>
      <c r="F301" s="4">
        <f t="shared" si="37"/>
        <v>447.48690253658867</v>
      </c>
      <c r="G301" s="4">
        <f>'Data - SKU Detail'!G290</f>
        <v>8.1099335666702608</v>
      </c>
      <c r="H301" s="4">
        <f>'Data - SKU Detail'!H290</f>
        <v>4.8407093010532298</v>
      </c>
      <c r="I301" s="4">
        <f t="shared" si="38"/>
        <v>35.293406111074894</v>
      </c>
      <c r="J301" s="4">
        <f t="shared" si="39"/>
        <v>21.066155206234811</v>
      </c>
      <c r="K301" s="4">
        <f t="shared" si="40"/>
        <v>259.03685737936922</v>
      </c>
      <c r="L301" s="4">
        <f t="shared" si="41"/>
        <v>244.80960647452915</v>
      </c>
      <c r="M301" s="4">
        <f t="shared" si="42"/>
        <v>26059.625926079305</v>
      </c>
      <c r="N301" s="4">
        <f t="shared" si="43"/>
        <v>24628.336030550581</v>
      </c>
      <c r="O301" s="4">
        <f t="shared" si="44"/>
        <v>1431.2898955287237</v>
      </c>
    </row>
    <row r="302" spans="1:15" x14ac:dyDescent="0.25">
      <c r="A302" s="4">
        <f>'Data - SKU Detail'!A291</f>
        <v>6</v>
      </c>
      <c r="B302" s="4">
        <f>'Data - SKU Detail'!B291</f>
        <v>40</v>
      </c>
      <c r="C302" s="4">
        <f>'Data - SKU Detail'!C291</f>
        <v>1272.73</v>
      </c>
      <c r="D302" s="4">
        <f>'Data - SKU Detail'!F291</f>
        <v>9068</v>
      </c>
      <c r="E302" s="4">
        <f t="shared" si="36"/>
        <v>254.54600000000002</v>
      </c>
      <c r="F302" s="4">
        <f t="shared" si="37"/>
        <v>231.16295997637963</v>
      </c>
      <c r="G302" s="4">
        <f>'Data - SKU Detail'!G291</f>
        <v>7.9289953959207997</v>
      </c>
      <c r="H302" s="4">
        <f>'Data - SKU Detail'!H291</f>
        <v>5.2057721271437396</v>
      </c>
      <c r="I302" s="4">
        <f t="shared" si="38"/>
        <v>34.505986055317564</v>
      </c>
      <c r="J302" s="4">
        <f t="shared" si="39"/>
        <v>22.654862496047915</v>
      </c>
      <c r="K302" s="4">
        <f t="shared" si="40"/>
        <v>150.08746604350739</v>
      </c>
      <c r="L302" s="4">
        <f t="shared" si="41"/>
        <v>138.23634248423772</v>
      </c>
      <c r="M302" s="4">
        <f t="shared" si="42"/>
        <v>38204.164131510639</v>
      </c>
      <c r="N302" s="4">
        <f t="shared" si="43"/>
        <v>35187.508033992781</v>
      </c>
      <c r="O302" s="4">
        <f t="shared" si="44"/>
        <v>3016.6560975178581</v>
      </c>
    </row>
    <row r="303" spans="1:15" x14ac:dyDescent="0.25">
      <c r="A303" s="4">
        <f>'Data - SKU Detail'!A292</f>
        <v>6</v>
      </c>
      <c r="B303" s="4">
        <f>'Data - SKU Detail'!B292</f>
        <v>41</v>
      </c>
      <c r="C303" s="4">
        <f>'Data - SKU Detail'!C292</f>
        <v>2111.73</v>
      </c>
      <c r="D303" s="4">
        <f>'Data - SKU Detail'!F292</f>
        <v>6677</v>
      </c>
      <c r="E303" s="4">
        <f t="shared" si="36"/>
        <v>422.346</v>
      </c>
      <c r="F303" s="4">
        <f t="shared" si="37"/>
        <v>153.99340607756508</v>
      </c>
      <c r="G303" s="4">
        <f>'Data - SKU Detail'!G292</f>
        <v>5.4586137805453898</v>
      </c>
      <c r="H303" s="4">
        <f>'Data - SKU Detail'!H292</f>
        <v>3.8283998268350699</v>
      </c>
      <c r="I303" s="4">
        <f t="shared" si="38"/>
        <v>23.755197422584672</v>
      </c>
      <c r="J303" s="4">
        <f t="shared" si="39"/>
        <v>16.660712289846135</v>
      </c>
      <c r="K303" s="4">
        <f t="shared" si="40"/>
        <v>100.75190046136721</v>
      </c>
      <c r="L303" s="4">
        <f t="shared" si="41"/>
        <v>93.657415328628673</v>
      </c>
      <c r="M303" s="4">
        <f t="shared" si="42"/>
        <v>42552.162152256598</v>
      </c>
      <c r="N303" s="4">
        <f t="shared" si="43"/>
        <v>39555.834734385004</v>
      </c>
      <c r="O303" s="4">
        <f t="shared" si="44"/>
        <v>2996.3274178715947</v>
      </c>
    </row>
    <row r="304" spans="1:15" x14ac:dyDescent="0.25">
      <c r="A304" s="4">
        <f>'Data - SKU Detail'!A293</f>
        <v>6</v>
      </c>
      <c r="B304" s="4">
        <f>'Data - SKU Detail'!B293</f>
        <v>42</v>
      </c>
      <c r="C304" s="4">
        <f>'Data - SKU Detail'!C293</f>
        <v>704.99</v>
      </c>
      <c r="D304" s="4">
        <f>'Data - SKU Detail'!F293</f>
        <v>11271</v>
      </c>
      <c r="E304" s="4">
        <f t="shared" si="36"/>
        <v>140.99800000000002</v>
      </c>
      <c r="F304" s="4">
        <f t="shared" si="37"/>
        <v>346.27439424949205</v>
      </c>
      <c r="G304" s="4">
        <f>'Data - SKU Detail'!G293</f>
        <v>9.0111678865398801</v>
      </c>
      <c r="H304" s="4">
        <f>'Data - SKU Detail'!H293</f>
        <v>6.0975295639457796</v>
      </c>
      <c r="I304" s="4">
        <f t="shared" si="38"/>
        <v>39.215463991193424</v>
      </c>
      <c r="J304" s="4">
        <f t="shared" si="39"/>
        <v>26.535678178555134</v>
      </c>
      <c r="K304" s="4">
        <f t="shared" si="40"/>
        <v>212.35266111593944</v>
      </c>
      <c r="L304" s="4">
        <f t="shared" si="41"/>
        <v>199.67287530330117</v>
      </c>
      <c r="M304" s="4">
        <f t="shared" si="42"/>
        <v>29941.300512025235</v>
      </c>
      <c r="N304" s="4">
        <f t="shared" si="43"/>
        <v>28153.476072014862</v>
      </c>
      <c r="O304" s="4">
        <f t="shared" si="44"/>
        <v>1787.8244400103722</v>
      </c>
    </row>
    <row r="305" spans="1:15" x14ac:dyDescent="0.25">
      <c r="A305" s="4">
        <f>'Data - SKU Detail'!A294</f>
        <v>6</v>
      </c>
      <c r="B305" s="4">
        <f>'Data - SKU Detail'!B294</f>
        <v>43</v>
      </c>
      <c r="C305" s="4">
        <f>'Data - SKU Detail'!C294</f>
        <v>358.9</v>
      </c>
      <c r="D305" s="4">
        <f>'Data - SKU Detail'!F294</f>
        <v>15918</v>
      </c>
      <c r="E305" s="4">
        <f t="shared" si="36"/>
        <v>71.78</v>
      </c>
      <c r="F305" s="4">
        <f t="shared" si="37"/>
        <v>576.75072977057323</v>
      </c>
      <c r="G305" s="4">
        <f>'Data - SKU Detail'!G294</f>
        <v>10.0656231891689</v>
      </c>
      <c r="H305" s="4">
        <f>'Data - SKU Detail'!H294</f>
        <v>7.0211822631084901</v>
      </c>
      <c r="I305" s="4">
        <f t="shared" si="38"/>
        <v>43.804320227279959</v>
      </c>
      <c r="J305" s="4">
        <f t="shared" si="39"/>
        <v>30.555298012571146</v>
      </c>
      <c r="K305" s="4">
        <f t="shared" si="40"/>
        <v>332.17968511256657</v>
      </c>
      <c r="L305" s="4">
        <f t="shared" si="41"/>
        <v>318.93066289785776</v>
      </c>
      <c r="M305" s="4">
        <f t="shared" si="42"/>
        <v>23843.857797380027</v>
      </c>
      <c r="N305" s="4">
        <f t="shared" si="43"/>
        <v>22892.84298280823</v>
      </c>
      <c r="O305" s="4">
        <f t="shared" si="44"/>
        <v>951.01481457179761</v>
      </c>
    </row>
    <row r="306" spans="1:15" x14ac:dyDescent="0.25">
      <c r="A306" s="4">
        <f>'Data - SKU Detail'!A295</f>
        <v>6</v>
      </c>
      <c r="B306" s="4">
        <f>'Data - SKU Detail'!B295</f>
        <v>44</v>
      </c>
      <c r="C306" s="4">
        <f>'Data - SKU Detail'!C295</f>
        <v>908.1</v>
      </c>
      <c r="D306" s="4">
        <f>'Data - SKU Detail'!F295</f>
        <v>9016</v>
      </c>
      <c r="E306" s="4">
        <f t="shared" si="36"/>
        <v>181.62</v>
      </c>
      <c r="F306" s="4">
        <f t="shared" si="37"/>
        <v>272.8793961619055</v>
      </c>
      <c r="G306" s="4">
        <f>'Data - SKU Detail'!G295</f>
        <v>7.4528619000805501</v>
      </c>
      <c r="H306" s="4">
        <f>'Data - SKU Detail'!H295</f>
        <v>5.0555555685184599</v>
      </c>
      <c r="I306" s="4">
        <f t="shared" si="38"/>
        <v>32.433913245641619</v>
      </c>
      <c r="J306" s="4">
        <f t="shared" si="39"/>
        <v>22.001139014272617</v>
      </c>
      <c r="K306" s="4">
        <f t="shared" si="40"/>
        <v>168.87361132659436</v>
      </c>
      <c r="L306" s="4">
        <f t="shared" si="41"/>
        <v>158.44083709522536</v>
      </c>
      <c r="M306" s="4">
        <f t="shared" si="42"/>
        <v>30670.825289136068</v>
      </c>
      <c r="N306" s="4">
        <f t="shared" si="43"/>
        <v>28776.024833234831</v>
      </c>
      <c r="O306" s="4">
        <f t="shared" si="44"/>
        <v>1894.800455901237</v>
      </c>
    </row>
    <row r="307" spans="1:15" x14ac:dyDescent="0.25">
      <c r="A307" s="4">
        <f>'Data - SKU Detail'!A296</f>
        <v>6</v>
      </c>
      <c r="B307" s="4">
        <f>'Data - SKU Detail'!B296</f>
        <v>45</v>
      </c>
      <c r="C307" s="4">
        <f>'Data - SKU Detail'!C296</f>
        <v>61</v>
      </c>
      <c r="D307" s="4">
        <f>'Data - SKU Detail'!F296</f>
        <v>25117</v>
      </c>
      <c r="E307" s="4">
        <f t="shared" si="36"/>
        <v>12.200000000000001</v>
      </c>
      <c r="F307" s="4">
        <f t="shared" si="37"/>
        <v>1757.3149227457548</v>
      </c>
      <c r="G307" s="4">
        <f>'Data - SKU Detail'!G296</f>
        <v>13.4983630512926</v>
      </c>
      <c r="H307" s="4">
        <f>'Data - SKU Detail'!H296</f>
        <v>9.1993589789506895</v>
      </c>
      <c r="I307" s="4">
        <f t="shared" si="38"/>
        <v>58.743170346288942</v>
      </c>
      <c r="J307" s="4">
        <f t="shared" si="39"/>
        <v>40.034447845541877</v>
      </c>
      <c r="K307" s="4">
        <f t="shared" si="40"/>
        <v>937.40063171916631</v>
      </c>
      <c r="L307" s="4">
        <f t="shared" si="41"/>
        <v>918.69190921841926</v>
      </c>
      <c r="M307" s="4">
        <f t="shared" si="42"/>
        <v>11436.28770697383</v>
      </c>
      <c r="N307" s="4">
        <f t="shared" si="43"/>
        <v>11208.041292464715</v>
      </c>
      <c r="O307" s="4">
        <f t="shared" si="44"/>
        <v>228.2464145091144</v>
      </c>
    </row>
    <row r="308" spans="1:15" x14ac:dyDescent="0.25">
      <c r="A308" s="4">
        <f>'Data - SKU Detail'!A297</f>
        <v>6</v>
      </c>
      <c r="B308" s="4">
        <f>'Data - SKU Detail'!B297</f>
        <v>46</v>
      </c>
      <c r="C308" s="4">
        <f>'Data - SKU Detail'!C297</f>
        <v>216.31</v>
      </c>
      <c r="D308" s="4">
        <f>'Data - SKU Detail'!F297</f>
        <v>17956</v>
      </c>
      <c r="E308" s="4">
        <f t="shared" si="36"/>
        <v>43.262</v>
      </c>
      <c r="F308" s="4">
        <f t="shared" si="37"/>
        <v>789.0365685353637</v>
      </c>
      <c r="G308" s="4">
        <f>'Data - SKU Detail'!G297</f>
        <v>10.503247285273</v>
      </c>
      <c r="H308" s="4">
        <f>'Data - SKU Detail'!H297</f>
        <v>7.0136705450765398</v>
      </c>
      <c r="I308" s="4">
        <f t="shared" si="38"/>
        <v>45.708804995351315</v>
      </c>
      <c r="J308" s="4">
        <f t="shared" si="39"/>
        <v>30.52260796487667</v>
      </c>
      <c r="K308" s="4">
        <f t="shared" si="40"/>
        <v>440.22708926303318</v>
      </c>
      <c r="L308" s="4">
        <f t="shared" si="41"/>
        <v>425.04089223255852</v>
      </c>
      <c r="M308" s="4">
        <f t="shared" si="42"/>
        <v>19045.104335697342</v>
      </c>
      <c r="N308" s="4">
        <f t="shared" si="43"/>
        <v>18388.119079764947</v>
      </c>
      <c r="O308" s="4">
        <f t="shared" si="44"/>
        <v>656.98525593239538</v>
      </c>
    </row>
    <row r="309" spans="1:15" x14ac:dyDescent="0.25">
      <c r="A309" s="4">
        <f>'Data - SKU Detail'!A298</f>
        <v>6</v>
      </c>
      <c r="B309" s="4">
        <f>'Data - SKU Detail'!B298</f>
        <v>47</v>
      </c>
      <c r="C309" s="4">
        <f>'Data - SKU Detail'!C298</f>
        <v>1940.83</v>
      </c>
      <c r="D309" s="4">
        <f>'Data - SKU Detail'!F298</f>
        <v>6889</v>
      </c>
      <c r="E309" s="4">
        <f t="shared" si="36"/>
        <v>388.166</v>
      </c>
      <c r="F309" s="4">
        <f t="shared" si="37"/>
        <v>163.16048055628659</v>
      </c>
      <c r="G309" s="4">
        <f>'Data - SKU Detail'!G298</f>
        <v>5.5522536240504303</v>
      </c>
      <c r="H309" s="4">
        <f>'Data - SKU Detail'!H298</f>
        <v>3.9090013558472898</v>
      </c>
      <c r="I309" s="4">
        <f t="shared" si="38"/>
        <v>24.162706189189503</v>
      </c>
      <c r="J309" s="4">
        <f t="shared" si="39"/>
        <v>17.011479959299418</v>
      </c>
      <c r="K309" s="4">
        <f t="shared" si="40"/>
        <v>105.7429464673328</v>
      </c>
      <c r="L309" s="4">
        <f t="shared" si="41"/>
        <v>98.591720237442715</v>
      </c>
      <c r="M309" s="4">
        <f t="shared" si="42"/>
        <v>41045.816558438702</v>
      </c>
      <c r="N309" s="4">
        <f t="shared" si="43"/>
        <v>38269.95367768719</v>
      </c>
      <c r="O309" s="4">
        <f t="shared" si="44"/>
        <v>2775.8628807515124</v>
      </c>
    </row>
    <row r="310" spans="1:15" x14ac:dyDescent="0.25">
      <c r="A310" s="4">
        <f>'Data - SKU Detail'!A299</f>
        <v>6</v>
      </c>
      <c r="B310" s="4">
        <f>'Data - SKU Detail'!B299</f>
        <v>48</v>
      </c>
      <c r="C310" s="4">
        <f>'Data - SKU Detail'!C299</f>
        <v>329.86</v>
      </c>
      <c r="D310" s="4">
        <f>'Data - SKU Detail'!F299</f>
        <v>15960</v>
      </c>
      <c r="E310" s="4">
        <f t="shared" si="36"/>
        <v>65.972000000000008</v>
      </c>
      <c r="F310" s="4">
        <f t="shared" si="37"/>
        <v>602.3962336674665</v>
      </c>
      <c r="G310" s="4">
        <f>'Data - SKU Detail'!G299</f>
        <v>10.009694297685099</v>
      </c>
      <c r="H310" s="4">
        <f>'Data - SKU Detail'!H299</f>
        <v>6.4133962702647498</v>
      </c>
      <c r="I310" s="4">
        <f t="shared" si="38"/>
        <v>43.56092475871629</v>
      </c>
      <c r="J310" s="4">
        <f t="shared" si="39"/>
        <v>27.910290171543398</v>
      </c>
      <c r="K310" s="4">
        <f t="shared" si="40"/>
        <v>344.75904159244953</v>
      </c>
      <c r="L310" s="4">
        <f t="shared" si="41"/>
        <v>329.10840700527666</v>
      </c>
      <c r="M310" s="4">
        <f t="shared" si="42"/>
        <v>22744.443491937083</v>
      </c>
      <c r="N310" s="4">
        <f t="shared" si="43"/>
        <v>21711.939826952115</v>
      </c>
      <c r="O310" s="4">
        <f t="shared" si="44"/>
        <v>1032.5036649849681</v>
      </c>
    </row>
    <row r="311" spans="1:15" x14ac:dyDescent="0.25">
      <c r="A311" s="4">
        <f>'Data - SKU Detail'!A300</f>
        <v>6</v>
      </c>
      <c r="B311" s="4">
        <f>'Data - SKU Detail'!B300</f>
        <v>49</v>
      </c>
      <c r="C311" s="4">
        <f>'Data - SKU Detail'!C300</f>
        <v>988.06</v>
      </c>
      <c r="D311" s="4">
        <f>'Data - SKU Detail'!F300</f>
        <v>8958</v>
      </c>
      <c r="E311" s="4">
        <f t="shared" si="36"/>
        <v>197.61199999999999</v>
      </c>
      <c r="F311" s="4">
        <f t="shared" si="37"/>
        <v>260.76211914386249</v>
      </c>
      <c r="G311" s="4">
        <f>'Data - SKU Detail'!G300</f>
        <v>7.2575561559593798</v>
      </c>
      <c r="H311" s="4">
        <f>'Data - SKU Detail'!H300</f>
        <v>5.0918637059148804</v>
      </c>
      <c r="I311" s="4">
        <f t="shared" si="38"/>
        <v>31.583967326056946</v>
      </c>
      <c r="J311" s="4">
        <f t="shared" si="39"/>
        <v>22.159147440326187</v>
      </c>
      <c r="K311" s="4">
        <f t="shared" si="40"/>
        <v>161.9650268979882</v>
      </c>
      <c r="L311" s="4">
        <f t="shared" si="41"/>
        <v>152.54020701225744</v>
      </c>
      <c r="M311" s="4">
        <f t="shared" si="42"/>
        <v>32006.232895365243</v>
      </c>
      <c r="N311" s="4">
        <f t="shared" si="43"/>
        <v>30143.775388106216</v>
      </c>
      <c r="O311" s="4">
        <f t="shared" si="44"/>
        <v>1862.4575072590269</v>
      </c>
    </row>
    <row r="312" spans="1:15" x14ac:dyDescent="0.25">
      <c r="A312" s="4">
        <f>'Data - SKU Detail'!A301</f>
        <v>6</v>
      </c>
      <c r="B312" s="4">
        <f>'Data - SKU Detail'!B301</f>
        <v>50</v>
      </c>
      <c r="C312" s="4">
        <f>'Data - SKU Detail'!C301</f>
        <v>154.34</v>
      </c>
      <c r="D312" s="4">
        <f>'Data - SKU Detail'!F301</f>
        <v>20630</v>
      </c>
      <c r="E312" s="4">
        <f t="shared" si="36"/>
        <v>30.868000000000002</v>
      </c>
      <c r="F312" s="4">
        <f t="shared" si="37"/>
        <v>1001.2464694961486</v>
      </c>
      <c r="G312" s="4">
        <f>'Data - SKU Detail'!G301</f>
        <v>12.165382693225199</v>
      </c>
      <c r="H312" s="4">
        <f>'Data - SKU Detail'!H301</f>
        <v>7.0425467554945502</v>
      </c>
      <c r="I312" s="4">
        <f t="shared" si="38"/>
        <v>52.942208263356065</v>
      </c>
      <c r="J312" s="4">
        <f t="shared" si="39"/>
        <v>30.648273583818369</v>
      </c>
      <c r="K312" s="4">
        <f t="shared" si="40"/>
        <v>553.56544301143038</v>
      </c>
      <c r="L312" s="4">
        <f t="shared" si="41"/>
        <v>531.27150833189273</v>
      </c>
      <c r="M312" s="4">
        <f t="shared" si="42"/>
        <v>17087.458094876834</v>
      </c>
      <c r="N312" s="4">
        <f t="shared" si="43"/>
        <v>16399.288919188864</v>
      </c>
      <c r="O312" s="4">
        <f t="shared" si="44"/>
        <v>688.16917568796998</v>
      </c>
    </row>
    <row r="313" spans="1:15" x14ac:dyDescent="0.25">
      <c r="A313" s="4">
        <f>'Data - SKU Detail'!A302</f>
        <v>7</v>
      </c>
      <c r="B313" s="4">
        <f>'Data - SKU Detail'!B302</f>
        <v>1</v>
      </c>
      <c r="C313" s="4">
        <f>'Data - SKU Detail'!C302</f>
        <v>2297.6799999999998</v>
      </c>
      <c r="D313" s="4">
        <f>'Data - SKU Detail'!F302</f>
        <v>6215</v>
      </c>
      <c r="E313" s="4">
        <f t="shared" si="36"/>
        <v>459.536</v>
      </c>
      <c r="F313" s="4">
        <f t="shared" si="37"/>
        <v>142.43162402367747</v>
      </c>
      <c r="G313" s="4">
        <f>'Data - SKU Detail'!G302</f>
        <v>6.3128635008612699</v>
      </c>
      <c r="H313" s="4">
        <f>'Data - SKU Detail'!H302</f>
        <v>4.1324182213845999</v>
      </c>
      <c r="I313" s="4">
        <f t="shared" si="38"/>
        <v>27.472784262418568</v>
      </c>
      <c r="J313" s="4">
        <f t="shared" si="39"/>
        <v>17.983761927166281</v>
      </c>
      <c r="K313" s="4">
        <f t="shared" si="40"/>
        <v>98.688596274257307</v>
      </c>
      <c r="L313" s="4">
        <f t="shared" si="41"/>
        <v>89.19957393900502</v>
      </c>
      <c r="M313" s="4">
        <f t="shared" si="42"/>
        <v>45350.962777487104</v>
      </c>
      <c r="N313" s="4">
        <f t="shared" si="43"/>
        <v>40990.41540963461</v>
      </c>
      <c r="O313" s="4">
        <f t="shared" si="44"/>
        <v>4360.5473678524941</v>
      </c>
    </row>
    <row r="314" spans="1:15" x14ac:dyDescent="0.25">
      <c r="A314" s="4">
        <f>'Data - SKU Detail'!A303</f>
        <v>7</v>
      </c>
      <c r="B314" s="4">
        <f>'Data - SKU Detail'!B303</f>
        <v>2</v>
      </c>
      <c r="C314" s="4">
        <f>'Data - SKU Detail'!C303</f>
        <v>235.35</v>
      </c>
      <c r="D314" s="4">
        <f>'Data - SKU Detail'!F303</f>
        <v>16603</v>
      </c>
      <c r="E314" s="4">
        <f t="shared" si="36"/>
        <v>47.07</v>
      </c>
      <c r="F314" s="4">
        <f t="shared" si="37"/>
        <v>727.38914271923625</v>
      </c>
      <c r="G314" s="4">
        <f>'Data - SKU Detail'!G303</f>
        <v>9.8365220858948508</v>
      </c>
      <c r="H314" s="4">
        <f>'Data - SKU Detail'!H303</f>
        <v>6.8883678982476502</v>
      </c>
      <c r="I314" s="4">
        <f t="shared" si="38"/>
        <v>42.807301175043001</v>
      </c>
      <c r="J314" s="4">
        <f t="shared" si="39"/>
        <v>29.977306679117763</v>
      </c>
      <c r="K314" s="4">
        <f t="shared" si="40"/>
        <v>406.50187253466112</v>
      </c>
      <c r="L314" s="4">
        <f t="shared" si="41"/>
        <v>393.67187803873588</v>
      </c>
      <c r="M314" s="4">
        <f t="shared" si="42"/>
        <v>19134.043140206501</v>
      </c>
      <c r="N314" s="4">
        <f t="shared" si="43"/>
        <v>18530.135299283298</v>
      </c>
      <c r="O314" s="4">
        <f t="shared" si="44"/>
        <v>603.90784092320246</v>
      </c>
    </row>
    <row r="315" spans="1:15" x14ac:dyDescent="0.25">
      <c r="A315" s="4">
        <f>'Data - SKU Detail'!A304</f>
        <v>7</v>
      </c>
      <c r="B315" s="4">
        <f>'Data - SKU Detail'!B304</f>
        <v>3</v>
      </c>
      <c r="C315" s="4">
        <f>'Data - SKU Detail'!C304</f>
        <v>767.06</v>
      </c>
      <c r="D315" s="4">
        <f>'Data - SKU Detail'!F304</f>
        <v>10403</v>
      </c>
      <c r="E315" s="4">
        <f t="shared" si="36"/>
        <v>153.41200000000001</v>
      </c>
      <c r="F315" s="4">
        <f t="shared" si="37"/>
        <v>318.92991922978649</v>
      </c>
      <c r="G315" s="4">
        <f>'Data - SKU Detail'!G304</f>
        <v>8.0984446962271708</v>
      </c>
      <c r="H315" s="4">
        <f>'Data - SKU Detail'!H304</f>
        <v>5.9715901776109801</v>
      </c>
      <c r="I315" s="4">
        <f t="shared" si="38"/>
        <v>35.243407998640052</v>
      </c>
      <c r="J315" s="4">
        <f t="shared" si="39"/>
        <v>25.9876058829249</v>
      </c>
      <c r="K315" s="4">
        <f t="shared" si="40"/>
        <v>194.70836761353331</v>
      </c>
      <c r="L315" s="4">
        <f t="shared" si="41"/>
        <v>185.45256549781814</v>
      </c>
      <c r="M315" s="4">
        <f t="shared" si="42"/>
        <v>29870.600092327375</v>
      </c>
      <c r="N315" s="4">
        <f t="shared" si="43"/>
        <v>28450.648978151279</v>
      </c>
      <c r="O315" s="4">
        <f t="shared" si="44"/>
        <v>1419.9511141760959</v>
      </c>
    </row>
    <row r="316" spans="1:15" x14ac:dyDescent="0.25">
      <c r="A316" s="4">
        <f>'Data - SKU Detail'!A305</f>
        <v>7</v>
      </c>
      <c r="B316" s="4">
        <f>'Data - SKU Detail'!B305</f>
        <v>4</v>
      </c>
      <c r="C316" s="4">
        <f>'Data - SKU Detail'!C305</f>
        <v>1783.76</v>
      </c>
      <c r="D316" s="4">
        <f>'Data - SKU Detail'!F305</f>
        <v>6124</v>
      </c>
      <c r="E316" s="4">
        <f t="shared" si="36"/>
        <v>356.75200000000001</v>
      </c>
      <c r="F316" s="4">
        <f t="shared" si="37"/>
        <v>160.46488613826227</v>
      </c>
      <c r="G316" s="4">
        <f>'Data - SKU Detail'!G305</f>
        <v>5.89000749121222</v>
      </c>
      <c r="H316" s="4">
        <f>'Data - SKU Detail'!H305</f>
        <v>4.1577277816253</v>
      </c>
      <c r="I316" s="4">
        <f t="shared" si="38"/>
        <v>25.632568340504427</v>
      </c>
      <c r="J316" s="4">
        <f t="shared" si="39"/>
        <v>18.093905935218189</v>
      </c>
      <c r="K316" s="4">
        <f t="shared" si="40"/>
        <v>105.86501140963557</v>
      </c>
      <c r="L316" s="4">
        <f t="shared" si="41"/>
        <v>98.326349004349325</v>
      </c>
      <c r="M316" s="4">
        <f t="shared" si="42"/>
        <v>37767.554550410307</v>
      </c>
      <c r="N316" s="4">
        <f t="shared" si="43"/>
        <v>35078.121659999633</v>
      </c>
      <c r="O316" s="4">
        <f t="shared" si="44"/>
        <v>2689.4328904106733</v>
      </c>
    </row>
    <row r="317" spans="1:15" x14ac:dyDescent="0.25">
      <c r="A317" s="4">
        <f>'Data - SKU Detail'!A306</f>
        <v>7</v>
      </c>
      <c r="B317" s="4">
        <f>'Data - SKU Detail'!B306</f>
        <v>5</v>
      </c>
      <c r="C317" s="4">
        <f>'Data - SKU Detail'!C306</f>
        <v>2500</v>
      </c>
      <c r="D317" s="4">
        <f>'Data - SKU Detail'!F306</f>
        <v>5206</v>
      </c>
      <c r="E317" s="4">
        <f t="shared" si="36"/>
        <v>500</v>
      </c>
      <c r="F317" s="4">
        <f t="shared" si="37"/>
        <v>124.97199686329733</v>
      </c>
      <c r="G317" s="4">
        <f>'Data - SKU Detail'!G306</f>
        <v>5.21712055357367</v>
      </c>
      <c r="H317" s="4">
        <f>'Data - SKU Detail'!H306</f>
        <v>4.1141766208774602</v>
      </c>
      <c r="I317" s="4">
        <f t="shared" si="38"/>
        <v>22.704249413883993</v>
      </c>
      <c r="J317" s="4">
        <f t="shared" si="39"/>
        <v>17.904376786767553</v>
      </c>
      <c r="K317" s="4">
        <f t="shared" si="40"/>
        <v>85.190247845532667</v>
      </c>
      <c r="L317" s="4">
        <f t="shared" si="41"/>
        <v>80.390375218416224</v>
      </c>
      <c r="M317" s="4">
        <f t="shared" si="42"/>
        <v>42595.123922766332</v>
      </c>
      <c r="N317" s="4">
        <f t="shared" si="43"/>
        <v>40195.187609208115</v>
      </c>
      <c r="O317" s="4">
        <f t="shared" si="44"/>
        <v>2399.9363135582171</v>
      </c>
    </row>
    <row r="318" spans="1:15" x14ac:dyDescent="0.25">
      <c r="A318" s="4">
        <f>'Data - SKU Detail'!A307</f>
        <v>7</v>
      </c>
      <c r="B318" s="4">
        <f>'Data - SKU Detail'!B307</f>
        <v>6</v>
      </c>
      <c r="C318" s="4">
        <f>'Data - SKU Detail'!C307</f>
        <v>278.63</v>
      </c>
      <c r="D318" s="4">
        <f>'Data - SKU Detail'!F307</f>
        <v>16696</v>
      </c>
      <c r="E318" s="4">
        <f t="shared" si="36"/>
        <v>55.725999999999999</v>
      </c>
      <c r="F318" s="4">
        <f t="shared" si="37"/>
        <v>670.38287590113384</v>
      </c>
      <c r="G318" s="4">
        <f>'Data - SKU Detail'!G307</f>
        <v>9.2084930884150893</v>
      </c>
      <c r="H318" s="4">
        <f>'Data - SKU Detail'!H307</f>
        <v>6.2701981061009597</v>
      </c>
      <c r="I318" s="4">
        <f t="shared" si="38"/>
        <v>40.074198335745024</v>
      </c>
      <c r="J318" s="4">
        <f t="shared" si="39"/>
        <v>27.287109855620287</v>
      </c>
      <c r="K318" s="4">
        <f t="shared" si="40"/>
        <v>375.26563628631197</v>
      </c>
      <c r="L318" s="4">
        <f t="shared" si="41"/>
        <v>362.47854780618718</v>
      </c>
      <c r="M318" s="4">
        <f t="shared" si="42"/>
        <v>20912.052847691022</v>
      </c>
      <c r="N318" s="4">
        <f t="shared" si="43"/>
        <v>20199.479555047586</v>
      </c>
      <c r="O318" s="4">
        <f t="shared" si="44"/>
        <v>712.57329264343571</v>
      </c>
    </row>
    <row r="319" spans="1:15" x14ac:dyDescent="0.25">
      <c r="A319" s="4">
        <f>'Data - SKU Detail'!A308</f>
        <v>7</v>
      </c>
      <c r="B319" s="4">
        <f>'Data - SKU Detail'!B308</f>
        <v>7</v>
      </c>
      <c r="C319" s="4">
        <f>'Data - SKU Detail'!C308</f>
        <v>256.08</v>
      </c>
      <c r="D319" s="4">
        <f>'Data - SKU Detail'!F308</f>
        <v>16649</v>
      </c>
      <c r="E319" s="4">
        <f t="shared" si="36"/>
        <v>51.216000000000001</v>
      </c>
      <c r="F319" s="4">
        <f t="shared" si="37"/>
        <v>698.29169646060484</v>
      </c>
      <c r="G319" s="4">
        <f>'Data - SKU Detail'!G308</f>
        <v>9.6124371975690899</v>
      </c>
      <c r="H319" s="4">
        <f>'Data - SKU Detail'!H308</f>
        <v>5.9391110290404896</v>
      </c>
      <c r="I319" s="4">
        <f t="shared" si="38"/>
        <v>41.832112056412143</v>
      </c>
      <c r="J319" s="4">
        <f t="shared" si="39"/>
        <v>25.846260732410816</v>
      </c>
      <c r="K319" s="4">
        <f t="shared" si="40"/>
        <v>390.97796028671456</v>
      </c>
      <c r="L319" s="4">
        <f t="shared" si="41"/>
        <v>374.99210896271325</v>
      </c>
      <c r="M319" s="4">
        <f t="shared" si="42"/>
        <v>20024.327214044373</v>
      </c>
      <c r="N319" s="4">
        <f t="shared" si="43"/>
        <v>19205.595852634324</v>
      </c>
      <c r="O319" s="4">
        <f t="shared" si="44"/>
        <v>818.73136141004943</v>
      </c>
    </row>
    <row r="320" spans="1:15" x14ac:dyDescent="0.25">
      <c r="A320" s="4">
        <f>'Data - SKU Detail'!A309</f>
        <v>7</v>
      </c>
      <c r="B320" s="4">
        <f>'Data - SKU Detail'!B309</f>
        <v>8</v>
      </c>
      <c r="C320" s="4">
        <f>'Data - SKU Detail'!C309</f>
        <v>85.49</v>
      </c>
      <c r="D320" s="4">
        <f>'Data - SKU Detail'!F309</f>
        <v>21998</v>
      </c>
      <c r="E320" s="4">
        <f t="shared" si="36"/>
        <v>17.097999999999999</v>
      </c>
      <c r="F320" s="4">
        <f t="shared" si="37"/>
        <v>1389.199351843527</v>
      </c>
      <c r="G320" s="4">
        <f>'Data - SKU Detail'!G309</f>
        <v>12.3385899792312</v>
      </c>
      <c r="H320" s="4">
        <f>'Data - SKU Detail'!H309</f>
        <v>7.9024258470310604</v>
      </c>
      <c r="I320" s="4">
        <f t="shared" si="38"/>
        <v>53.695984485584326</v>
      </c>
      <c r="J320" s="4">
        <f t="shared" si="39"/>
        <v>34.390358735877186</v>
      </c>
      <c r="K320" s="4">
        <f t="shared" si="40"/>
        <v>748.29566040734778</v>
      </c>
      <c r="L320" s="4">
        <f t="shared" si="41"/>
        <v>728.99003465764065</v>
      </c>
      <c r="M320" s="4">
        <f t="shared" si="42"/>
        <v>12794.359201644831</v>
      </c>
      <c r="N320" s="4">
        <f t="shared" si="43"/>
        <v>12464.27161257634</v>
      </c>
      <c r="O320" s="4">
        <f t="shared" si="44"/>
        <v>330.08758906849107</v>
      </c>
    </row>
    <row r="321" spans="1:15" x14ac:dyDescent="0.25">
      <c r="A321" s="4">
        <f>'Data - SKU Detail'!A310</f>
        <v>7</v>
      </c>
      <c r="B321" s="4">
        <f>'Data - SKU Detail'!B310</f>
        <v>9</v>
      </c>
      <c r="C321" s="4">
        <f>'Data - SKU Detail'!C310</f>
        <v>303.16000000000003</v>
      </c>
      <c r="D321" s="4">
        <f>'Data - SKU Detail'!F310</f>
        <v>14678</v>
      </c>
      <c r="E321" s="4">
        <f t="shared" si="36"/>
        <v>60.632000000000005</v>
      </c>
      <c r="F321" s="4">
        <f t="shared" si="37"/>
        <v>602.59860808394262</v>
      </c>
      <c r="G321" s="4">
        <f>'Data - SKU Detail'!G310</f>
        <v>9.3655395011773201</v>
      </c>
      <c r="H321" s="4">
        <f>'Data - SKU Detail'!H310</f>
        <v>6.0307597795700598</v>
      </c>
      <c r="I321" s="4">
        <f t="shared" si="38"/>
        <v>40.757644479704076</v>
      </c>
      <c r="J321" s="4">
        <f t="shared" si="39"/>
        <v>26.24510451398087</v>
      </c>
      <c r="K321" s="4">
        <f t="shared" si="40"/>
        <v>342.05694852167539</v>
      </c>
      <c r="L321" s="4">
        <f t="shared" si="41"/>
        <v>327.5444085559522</v>
      </c>
      <c r="M321" s="4">
        <f t="shared" si="42"/>
        <v>20739.596902766225</v>
      </c>
      <c r="N321" s="4">
        <f t="shared" si="43"/>
        <v>19859.672579564496</v>
      </c>
      <c r="O321" s="4">
        <f t="shared" si="44"/>
        <v>879.92432320172884</v>
      </c>
    </row>
    <row r="322" spans="1:15" x14ac:dyDescent="0.25">
      <c r="A322" s="4">
        <f>'Data - SKU Detail'!A311</f>
        <v>7</v>
      </c>
      <c r="B322" s="4">
        <f>'Data - SKU Detail'!B311</f>
        <v>10</v>
      </c>
      <c r="C322" s="4">
        <f>'Data - SKU Detail'!C311</f>
        <v>93.02</v>
      </c>
      <c r="D322" s="4">
        <f>'Data - SKU Detail'!F311</f>
        <v>20964</v>
      </c>
      <c r="E322" s="4">
        <f t="shared" si="36"/>
        <v>18.603999999999999</v>
      </c>
      <c r="F322" s="4">
        <f t="shared" si="37"/>
        <v>1300.1083262013574</v>
      </c>
      <c r="G322" s="4">
        <f>'Data - SKU Detail'!G311</f>
        <v>11.4618699388026</v>
      </c>
      <c r="H322" s="4">
        <f>'Data - SKU Detail'!H311</f>
        <v>7.4790771714818201</v>
      </c>
      <c r="I322" s="4">
        <f t="shared" si="38"/>
        <v>49.880609651969166</v>
      </c>
      <c r="J322" s="4">
        <f t="shared" si="39"/>
        <v>32.547998794218678</v>
      </c>
      <c r="K322" s="4">
        <f t="shared" si="40"/>
        <v>699.93477275264786</v>
      </c>
      <c r="L322" s="4">
        <f t="shared" si="41"/>
        <v>682.60216189489734</v>
      </c>
      <c r="M322" s="4">
        <f t="shared" si="42"/>
        <v>13021.58651229026</v>
      </c>
      <c r="N322" s="4">
        <f t="shared" si="43"/>
        <v>12699.130619892669</v>
      </c>
      <c r="O322" s="4">
        <f t="shared" si="44"/>
        <v>322.45589239759101</v>
      </c>
    </row>
    <row r="323" spans="1:15" x14ac:dyDescent="0.25">
      <c r="A323" s="4">
        <f>'Data - SKU Detail'!A312</f>
        <v>7</v>
      </c>
      <c r="B323" s="4">
        <f>'Data - SKU Detail'!B312</f>
        <v>11</v>
      </c>
      <c r="C323" s="4">
        <f>'Data - SKU Detail'!C312</f>
        <v>101.21</v>
      </c>
      <c r="D323" s="4">
        <f>'Data - SKU Detail'!F312</f>
        <v>19667</v>
      </c>
      <c r="E323" s="4">
        <f t="shared" si="36"/>
        <v>20.242000000000001</v>
      </c>
      <c r="F323" s="4">
        <f t="shared" si="37"/>
        <v>1207.2243263179992</v>
      </c>
      <c r="G323" s="4">
        <f>'Data - SKU Detail'!G312</f>
        <v>12.1750795035328</v>
      </c>
      <c r="H323" s="4">
        <f>'Data - SKU Detail'!H312</f>
        <v>7.7165213010556704</v>
      </c>
      <c r="I323" s="4">
        <f t="shared" si="38"/>
        <v>52.984407556525944</v>
      </c>
      <c r="J323" s="4">
        <f t="shared" si="39"/>
        <v>33.581325642687709</v>
      </c>
      <c r="K323" s="4">
        <f t="shared" si="40"/>
        <v>656.59657071552556</v>
      </c>
      <c r="L323" s="4">
        <f t="shared" si="41"/>
        <v>637.19348880168729</v>
      </c>
      <c r="M323" s="4">
        <f t="shared" si="42"/>
        <v>13290.827784423669</v>
      </c>
      <c r="N323" s="4">
        <f t="shared" si="43"/>
        <v>12898.070600323756</v>
      </c>
      <c r="O323" s="4">
        <f t="shared" si="44"/>
        <v>392.7571840999135</v>
      </c>
    </row>
    <row r="324" spans="1:15" x14ac:dyDescent="0.25">
      <c r="A324" s="4">
        <f>'Data - SKU Detail'!A313</f>
        <v>7</v>
      </c>
      <c r="B324" s="4">
        <f>'Data - SKU Detail'!B313</f>
        <v>12</v>
      </c>
      <c r="C324" s="4">
        <f>'Data - SKU Detail'!C313</f>
        <v>110.12</v>
      </c>
      <c r="D324" s="4">
        <f>'Data - SKU Detail'!F313</f>
        <v>19653</v>
      </c>
      <c r="E324" s="4">
        <f t="shared" si="36"/>
        <v>22.024000000000001</v>
      </c>
      <c r="F324" s="4">
        <f t="shared" si="37"/>
        <v>1156.9429857537407</v>
      </c>
      <c r="G324" s="4">
        <f>'Data - SKU Detail'!G313</f>
        <v>10.1781726395253</v>
      </c>
      <c r="H324" s="4">
        <f>'Data - SKU Detail'!H313</f>
        <v>6.7692846585264101</v>
      </c>
      <c r="I324" s="4">
        <f t="shared" si="38"/>
        <v>44.294121213484296</v>
      </c>
      <c r="J324" s="4">
        <f t="shared" si="39"/>
        <v>29.459071467207167</v>
      </c>
      <c r="K324" s="4">
        <f t="shared" si="40"/>
        <v>622.76561409035469</v>
      </c>
      <c r="L324" s="4">
        <f t="shared" si="41"/>
        <v>607.93056434407754</v>
      </c>
      <c r="M324" s="4">
        <f t="shared" si="42"/>
        <v>13715.789884725973</v>
      </c>
      <c r="N324" s="4">
        <f t="shared" si="43"/>
        <v>13389.062749113964</v>
      </c>
      <c r="O324" s="4">
        <f t="shared" si="44"/>
        <v>326.72713561200908</v>
      </c>
    </row>
    <row r="325" spans="1:15" x14ac:dyDescent="0.25">
      <c r="A325" s="4">
        <f>'Data - SKU Detail'!A314</f>
        <v>7</v>
      </c>
      <c r="B325" s="4">
        <f>'Data - SKU Detail'!B314</f>
        <v>13</v>
      </c>
      <c r="C325" s="4">
        <f>'Data - SKU Detail'!C314</f>
        <v>47.35</v>
      </c>
      <c r="D325" s="4">
        <f>'Data - SKU Detail'!F314</f>
        <v>24111</v>
      </c>
      <c r="E325" s="4">
        <f t="shared" si="36"/>
        <v>9.4700000000000006</v>
      </c>
      <c r="F325" s="4">
        <f t="shared" si="37"/>
        <v>1954.2415894852707</v>
      </c>
      <c r="G325" s="4">
        <f>'Data - SKU Detail'!G314</f>
        <v>12.240639431942199</v>
      </c>
      <c r="H325" s="4">
        <f>'Data - SKU Detail'!H314</f>
        <v>8.0700540739178308</v>
      </c>
      <c r="I325" s="4">
        <f t="shared" si="38"/>
        <v>53.269716080812167</v>
      </c>
      <c r="J325" s="4">
        <f t="shared" si="39"/>
        <v>35.11985559778838</v>
      </c>
      <c r="K325" s="4">
        <f t="shared" si="40"/>
        <v>1030.3905108234476</v>
      </c>
      <c r="L325" s="4">
        <f t="shared" si="41"/>
        <v>1012.2406503404237</v>
      </c>
      <c r="M325" s="4">
        <f t="shared" si="42"/>
        <v>9757.79813749805</v>
      </c>
      <c r="N325" s="4">
        <f t="shared" si="43"/>
        <v>9585.9189587238125</v>
      </c>
      <c r="O325" s="4">
        <f t="shared" si="44"/>
        <v>171.87917877423752</v>
      </c>
    </row>
    <row r="326" spans="1:15" x14ac:dyDescent="0.25">
      <c r="A326" s="4">
        <f>'Data - SKU Detail'!A315</f>
        <v>7</v>
      </c>
      <c r="B326" s="4">
        <f>'Data - SKU Detail'!B315</f>
        <v>14</v>
      </c>
      <c r="C326" s="4">
        <f>'Data - SKU Detail'!C315</f>
        <v>182.71</v>
      </c>
      <c r="D326" s="4">
        <f>'Data - SKU Detail'!F315</f>
        <v>16566</v>
      </c>
      <c r="E326" s="4">
        <f t="shared" si="36"/>
        <v>36.542000000000002</v>
      </c>
      <c r="F326" s="4">
        <f t="shared" si="37"/>
        <v>824.62842598299585</v>
      </c>
      <c r="G326" s="4">
        <f>'Data - SKU Detail'!G315</f>
        <v>10.1341220638385</v>
      </c>
      <c r="H326" s="4">
        <f>'Data - SKU Detail'!H315</f>
        <v>6.48290363487303</v>
      </c>
      <c r="I326" s="4">
        <f t="shared" si="38"/>
        <v>44.102418674325371</v>
      </c>
      <c r="J326" s="4">
        <f t="shared" si="39"/>
        <v>28.212777439369166</v>
      </c>
      <c r="K326" s="4">
        <f t="shared" si="40"/>
        <v>456.41663166582327</v>
      </c>
      <c r="L326" s="4">
        <f t="shared" si="41"/>
        <v>440.5269904308671</v>
      </c>
      <c r="M326" s="4">
        <f t="shared" si="42"/>
        <v>16678.376554332513</v>
      </c>
      <c r="N326" s="4">
        <f t="shared" si="43"/>
        <v>16097.737284324747</v>
      </c>
      <c r="O326" s="4">
        <f t="shared" si="44"/>
        <v>580.63927000776675</v>
      </c>
    </row>
    <row r="327" spans="1:15" x14ac:dyDescent="0.25">
      <c r="A327" s="4">
        <f>'Data - SKU Detail'!A316</f>
        <v>7</v>
      </c>
      <c r="B327" s="4">
        <f>'Data - SKU Detail'!B316</f>
        <v>15</v>
      </c>
      <c r="C327" s="4">
        <f>'Data - SKU Detail'!C316</f>
        <v>40</v>
      </c>
      <c r="D327" s="4">
        <f>'Data - SKU Detail'!F316</f>
        <v>25005</v>
      </c>
      <c r="E327" s="4">
        <f t="shared" si="36"/>
        <v>8</v>
      </c>
      <c r="F327" s="4">
        <f t="shared" si="37"/>
        <v>2165.2800049878074</v>
      </c>
      <c r="G327" s="4">
        <f>'Data - SKU Detail'!G316</f>
        <v>10.933206190824601</v>
      </c>
      <c r="H327" s="4">
        <f>'Data - SKU Detail'!H316</f>
        <v>8.0931180772450606</v>
      </c>
      <c r="I327" s="4">
        <f t="shared" si="38"/>
        <v>47.579931822711544</v>
      </c>
      <c r="J327" s="4">
        <f t="shared" si="39"/>
        <v>35.220227225901397</v>
      </c>
      <c r="K327" s="4">
        <f t="shared" si="40"/>
        <v>1130.2199343166153</v>
      </c>
      <c r="L327" s="4">
        <f t="shared" si="41"/>
        <v>1117.8602297198051</v>
      </c>
      <c r="M327" s="4">
        <f t="shared" si="42"/>
        <v>9041.7594745329225</v>
      </c>
      <c r="N327" s="4">
        <f t="shared" si="43"/>
        <v>8942.8818377584412</v>
      </c>
      <c r="O327" s="4">
        <f t="shared" si="44"/>
        <v>98.877636774481289</v>
      </c>
    </row>
    <row r="328" spans="1:15" x14ac:dyDescent="0.25">
      <c r="A328" s="4">
        <f>'Data - SKU Detail'!A317</f>
        <v>7</v>
      </c>
      <c r="B328" s="4">
        <f>'Data - SKU Detail'!B317</f>
        <v>16</v>
      </c>
      <c r="C328" s="4">
        <f>'Data - SKU Detail'!C317</f>
        <v>1506.73</v>
      </c>
      <c r="D328" s="4">
        <f>'Data - SKU Detail'!F317</f>
        <v>7176</v>
      </c>
      <c r="E328" s="4">
        <f t="shared" si="36"/>
        <v>301.346</v>
      </c>
      <c r="F328" s="4">
        <f t="shared" si="37"/>
        <v>188.99665987700664</v>
      </c>
      <c r="G328" s="4">
        <f>'Data - SKU Detail'!G317</f>
        <v>6.2930789609987103</v>
      </c>
      <c r="H328" s="4">
        <f>'Data - SKU Detail'!H317</f>
        <v>4.4444462477987097</v>
      </c>
      <c r="I328" s="4">
        <f t="shared" si="38"/>
        <v>27.386684444910841</v>
      </c>
      <c r="J328" s="4">
        <f t="shared" si="39"/>
        <v>19.341668470264125</v>
      </c>
      <c r="K328" s="4">
        <f t="shared" si="40"/>
        <v>121.88501438341416</v>
      </c>
      <c r="L328" s="4">
        <f t="shared" si="41"/>
        <v>113.83999840876744</v>
      </c>
      <c r="M328" s="4">
        <f t="shared" si="42"/>
        <v>36729.561544384327</v>
      </c>
      <c r="N328" s="4">
        <f t="shared" si="43"/>
        <v>34305.228160488434</v>
      </c>
      <c r="O328" s="4">
        <f t="shared" si="44"/>
        <v>2424.3333838958933</v>
      </c>
    </row>
    <row r="329" spans="1:15" x14ac:dyDescent="0.25">
      <c r="A329" s="4">
        <f>'Data - SKU Detail'!A318</f>
        <v>7</v>
      </c>
      <c r="B329" s="4">
        <f>'Data - SKU Detail'!B318</f>
        <v>17</v>
      </c>
      <c r="C329" s="4">
        <f>'Data - SKU Detail'!C318</f>
        <v>834.61</v>
      </c>
      <c r="D329" s="4">
        <f>'Data - SKU Detail'!F318</f>
        <v>9305</v>
      </c>
      <c r="E329" s="4">
        <f t="shared" si="36"/>
        <v>166.92200000000003</v>
      </c>
      <c r="F329" s="4">
        <f t="shared" si="37"/>
        <v>289.16586747205923</v>
      </c>
      <c r="G329" s="4">
        <f>'Data - SKU Detail'!G318</f>
        <v>8.1748977764275796</v>
      </c>
      <c r="H329" s="4">
        <f>'Data - SKU Detail'!H318</f>
        <v>5.5412735705359202</v>
      </c>
      <c r="I329" s="4">
        <f t="shared" si="38"/>
        <v>35.576122143062257</v>
      </c>
      <c r="J329" s="4">
        <f t="shared" si="39"/>
        <v>24.114922383733735</v>
      </c>
      <c r="K329" s="4">
        <f t="shared" si="40"/>
        <v>180.15905587909188</v>
      </c>
      <c r="L329" s="4">
        <f t="shared" si="41"/>
        <v>168.69785611976334</v>
      </c>
      <c r="M329" s="4">
        <f t="shared" si="42"/>
        <v>30072.50992544978</v>
      </c>
      <c r="N329" s="4">
        <f t="shared" si="43"/>
        <v>28159.383539223141</v>
      </c>
      <c r="O329" s="4">
        <f t="shared" si="44"/>
        <v>1913.1263862266387</v>
      </c>
    </row>
    <row r="330" spans="1:15" x14ac:dyDescent="0.25">
      <c r="A330" s="4">
        <f>'Data - SKU Detail'!A319</f>
        <v>7</v>
      </c>
      <c r="B330" s="4">
        <f>'Data - SKU Detail'!B319</f>
        <v>18</v>
      </c>
      <c r="C330" s="4">
        <f>'Data - SKU Detail'!C319</f>
        <v>51.52</v>
      </c>
      <c r="D330" s="4">
        <f>'Data - SKU Detail'!F319</f>
        <v>23703</v>
      </c>
      <c r="E330" s="4">
        <f t="shared" si="36"/>
        <v>10.304000000000002</v>
      </c>
      <c r="F330" s="4">
        <f t="shared" si="37"/>
        <v>1857.5664680516315</v>
      </c>
      <c r="G330" s="4">
        <f>'Data - SKU Detail'!G319</f>
        <v>12.7050548419904</v>
      </c>
      <c r="H330" s="4">
        <f>'Data - SKU Detail'!H319</f>
        <v>7.6976641724877304</v>
      </c>
      <c r="I330" s="4">
        <f t="shared" si="38"/>
        <v>55.290793261818251</v>
      </c>
      <c r="J330" s="4">
        <f t="shared" si="39"/>
        <v>33.499261801946496</v>
      </c>
      <c r="K330" s="4">
        <f t="shared" si="40"/>
        <v>984.07402728763407</v>
      </c>
      <c r="L330" s="4">
        <f t="shared" si="41"/>
        <v>962.28249582776232</v>
      </c>
      <c r="M330" s="4">
        <f t="shared" si="42"/>
        <v>10139.898777171784</v>
      </c>
      <c r="N330" s="4">
        <f t="shared" si="43"/>
        <v>9915.3588370092657</v>
      </c>
      <c r="O330" s="4">
        <f t="shared" si="44"/>
        <v>224.53994016251818</v>
      </c>
    </row>
    <row r="331" spans="1:15" x14ac:dyDescent="0.25">
      <c r="A331" s="4">
        <f>'Data - SKU Detail'!A320</f>
        <v>7</v>
      </c>
      <c r="B331" s="4">
        <f>'Data - SKU Detail'!B320</f>
        <v>19</v>
      </c>
      <c r="C331" s="4">
        <f>'Data - SKU Detail'!C320</f>
        <v>547.29999999999995</v>
      </c>
      <c r="D331" s="4">
        <f>'Data - SKU Detail'!F320</f>
        <v>11525</v>
      </c>
      <c r="E331" s="4">
        <f t="shared" si="36"/>
        <v>109.46</v>
      </c>
      <c r="F331" s="4">
        <f t="shared" si="37"/>
        <v>397.40961898549489</v>
      </c>
      <c r="G331" s="4">
        <f>'Data - SKU Detail'!G320</f>
        <v>9.2217725706849407</v>
      </c>
      <c r="H331" s="4">
        <f>'Data - SKU Detail'!H320</f>
        <v>5.8928275626819202</v>
      </c>
      <c r="I331" s="4">
        <f t="shared" si="38"/>
        <v>40.131988964588253</v>
      </c>
      <c r="J331" s="4">
        <f t="shared" si="39"/>
        <v>25.644840935196378</v>
      </c>
      <c r="K331" s="4">
        <f t="shared" si="40"/>
        <v>238.8367984573357</v>
      </c>
      <c r="L331" s="4">
        <f t="shared" si="41"/>
        <v>224.34965042794383</v>
      </c>
      <c r="M331" s="4">
        <f t="shared" si="42"/>
        <v>26143.075959139966</v>
      </c>
      <c r="N331" s="4">
        <f t="shared" si="43"/>
        <v>24557.31273584273</v>
      </c>
      <c r="O331" s="4">
        <f t="shared" si="44"/>
        <v>1585.7632232972355</v>
      </c>
    </row>
    <row r="332" spans="1:15" x14ac:dyDescent="0.25">
      <c r="A332" s="4">
        <f>'Data - SKU Detail'!A321</f>
        <v>7</v>
      </c>
      <c r="B332" s="4">
        <f>'Data - SKU Detail'!B321</f>
        <v>20</v>
      </c>
      <c r="C332" s="4">
        <f>'Data - SKU Detail'!C321</f>
        <v>424.89</v>
      </c>
      <c r="D332" s="4">
        <f>'Data - SKU Detail'!F321</f>
        <v>13544</v>
      </c>
      <c r="E332" s="4">
        <f t="shared" si="36"/>
        <v>84.978000000000009</v>
      </c>
      <c r="F332" s="4">
        <f t="shared" si="37"/>
        <v>488.9515748924905</v>
      </c>
      <c r="G332" s="4">
        <f>'Data - SKU Detail'!G321</f>
        <v>9.3825821385797301</v>
      </c>
      <c r="H332" s="4">
        <f>'Data - SKU Detail'!H321</f>
        <v>6.5619928788813997</v>
      </c>
      <c r="I332" s="4">
        <f t="shared" si="38"/>
        <v>40.831811884171984</v>
      </c>
      <c r="J332" s="4">
        <f t="shared" si="39"/>
        <v>28.556963835577999</v>
      </c>
      <c r="K332" s="4">
        <f t="shared" si="40"/>
        <v>285.30759933041725</v>
      </c>
      <c r="L332" s="4">
        <f t="shared" si="41"/>
        <v>273.03275128182327</v>
      </c>
      <c r="M332" s="4">
        <f t="shared" si="42"/>
        <v>24244.869175900199</v>
      </c>
      <c r="N332" s="4">
        <f t="shared" si="43"/>
        <v>23201.77713842678</v>
      </c>
      <c r="O332" s="4">
        <f t="shared" si="44"/>
        <v>1043.0920374734196</v>
      </c>
    </row>
    <row r="333" spans="1:15" x14ac:dyDescent="0.25">
      <c r="A333" s="4">
        <f>'Data - SKU Detail'!A322</f>
        <v>7</v>
      </c>
      <c r="B333" s="4">
        <f>'Data - SKU Detail'!B322</f>
        <v>21</v>
      </c>
      <c r="C333" s="4">
        <f>'Data - SKU Detail'!C322</f>
        <v>647.92999999999995</v>
      </c>
      <c r="D333" s="4">
        <f>'Data - SKU Detail'!F322</f>
        <v>11470</v>
      </c>
      <c r="E333" s="4">
        <f t="shared" ref="E333:E396" si="45">C333*$B$6</f>
        <v>129.58599999999998</v>
      </c>
      <c r="F333" s="4">
        <f t="shared" ref="F333:F396" si="46">SQRT(2*D333*$B$5/E333)</f>
        <v>364.37476855134634</v>
      </c>
      <c r="G333" s="4">
        <f>'Data - SKU Detail'!G322</f>
        <v>8.0028288715580995</v>
      </c>
      <c r="H333" s="4">
        <f>'Data - SKU Detail'!H322</f>
        <v>5.3994269355908502</v>
      </c>
      <c r="I333" s="4">
        <f t="shared" ref="I333:I396" si="47">$B$9*G333*SQRT($B$7)</f>
        <v>34.827300011694305</v>
      </c>
      <c r="J333" s="4">
        <f t="shared" ref="J333:J396" si="48">$B$9*H333*SQRT($B$7)</f>
        <v>23.497623752191288</v>
      </c>
      <c r="K333" s="4">
        <f t="shared" ref="K333:K396" si="49">F333/2+I333</f>
        <v>217.01468428736746</v>
      </c>
      <c r="L333" s="4">
        <f t="shared" ref="L333:L396" si="50">F333/2+J333</f>
        <v>205.68500802786446</v>
      </c>
      <c r="M333" s="4">
        <f t="shared" ref="M333:M396" si="51">K333*E333</f>
        <v>28122.064878062796</v>
      </c>
      <c r="N333" s="4">
        <f t="shared" ref="N333:N396" si="52">L333*E333</f>
        <v>26653.897450298839</v>
      </c>
      <c r="O333" s="4">
        <f t="shared" ref="O333:O396" si="53">M333-N333</f>
        <v>1468.1674277639577</v>
      </c>
    </row>
    <row r="334" spans="1:15" x14ac:dyDescent="0.25">
      <c r="A334" s="4">
        <f>'Data - SKU Detail'!A323</f>
        <v>7</v>
      </c>
      <c r="B334" s="4">
        <f>'Data - SKU Detail'!B323</f>
        <v>22</v>
      </c>
      <c r="C334" s="4">
        <f>'Data - SKU Detail'!C323</f>
        <v>72.209999999999994</v>
      </c>
      <c r="D334" s="4">
        <f>'Data - SKU Detail'!F323</f>
        <v>22778</v>
      </c>
      <c r="E334" s="4">
        <f t="shared" si="45"/>
        <v>14.442</v>
      </c>
      <c r="F334" s="4">
        <f t="shared" si="46"/>
        <v>1538.118350396194</v>
      </c>
      <c r="G334" s="4">
        <f>'Data - SKU Detail'!G323</f>
        <v>14.7487477907491</v>
      </c>
      <c r="H334" s="4">
        <f>'Data - SKU Detail'!H323</f>
        <v>10.037640022364499</v>
      </c>
      <c r="I334" s="4">
        <f t="shared" si="47"/>
        <v>64.184686733808221</v>
      </c>
      <c r="J334" s="4">
        <f t="shared" si="48"/>
        <v>43.68254102129972</v>
      </c>
      <c r="K334" s="4">
        <f t="shared" si="49"/>
        <v>833.24386193190526</v>
      </c>
      <c r="L334" s="4">
        <f t="shared" si="50"/>
        <v>812.74171621939672</v>
      </c>
      <c r="M334" s="4">
        <f t="shared" si="51"/>
        <v>12033.707854020577</v>
      </c>
      <c r="N334" s="4">
        <f t="shared" si="52"/>
        <v>11737.615865640528</v>
      </c>
      <c r="O334" s="4">
        <f t="shared" si="53"/>
        <v>296.09198838004886</v>
      </c>
    </row>
    <row r="335" spans="1:15" x14ac:dyDescent="0.25">
      <c r="A335" s="4">
        <f>'Data - SKU Detail'!A324</f>
        <v>7</v>
      </c>
      <c r="B335" s="4">
        <f>'Data - SKU Detail'!B324</f>
        <v>23</v>
      </c>
      <c r="C335" s="4">
        <f>'Data - SKU Detail'!C324</f>
        <v>1075.06</v>
      </c>
      <c r="D335" s="4">
        <f>'Data - SKU Detail'!F324</f>
        <v>8329</v>
      </c>
      <c r="E335" s="4">
        <f t="shared" si="45"/>
        <v>215.012</v>
      </c>
      <c r="F335" s="4">
        <f t="shared" si="46"/>
        <v>241.05198442803993</v>
      </c>
      <c r="G335" s="4">
        <f>'Data - SKU Detail'!G324</f>
        <v>7.2983891042122098</v>
      </c>
      <c r="H335" s="4">
        <f>'Data - SKU Detail'!H324</f>
        <v>4.7721610325245498</v>
      </c>
      <c r="I335" s="4">
        <f t="shared" si="47"/>
        <v>31.761667157202581</v>
      </c>
      <c r="J335" s="4">
        <f t="shared" si="48"/>
        <v>20.767841803356095</v>
      </c>
      <c r="K335" s="4">
        <f t="shared" si="49"/>
        <v>152.28765937122256</v>
      </c>
      <c r="L335" s="4">
        <f t="shared" si="50"/>
        <v>141.29383401737607</v>
      </c>
      <c r="M335" s="4">
        <f t="shared" si="51"/>
        <v>32743.674216725307</v>
      </c>
      <c r="N335" s="4">
        <f t="shared" si="52"/>
        <v>30379.869839744064</v>
      </c>
      <c r="O335" s="4">
        <f t="shared" si="53"/>
        <v>2363.804376981243</v>
      </c>
    </row>
    <row r="336" spans="1:15" x14ac:dyDescent="0.25">
      <c r="A336" s="4">
        <f>'Data - SKU Detail'!A325</f>
        <v>7</v>
      </c>
      <c r="B336" s="4">
        <f>'Data - SKU Detail'!B325</f>
        <v>24</v>
      </c>
      <c r="C336" s="4">
        <f>'Data - SKU Detail'!C325</f>
        <v>141.85</v>
      </c>
      <c r="D336" s="4">
        <f>'Data - SKU Detail'!F325</f>
        <v>18504</v>
      </c>
      <c r="E336" s="4">
        <f t="shared" si="45"/>
        <v>28.37</v>
      </c>
      <c r="F336" s="4">
        <f t="shared" si="46"/>
        <v>989.11951745461886</v>
      </c>
      <c r="G336" s="4">
        <f>'Data - SKU Detail'!G325</f>
        <v>12.2126210436912</v>
      </c>
      <c r="H336" s="4">
        <f>'Data - SKU Detail'!H325</f>
        <v>7.5446409298192503</v>
      </c>
      <c r="I336" s="4">
        <f t="shared" si="47"/>
        <v>53.147783595546912</v>
      </c>
      <c r="J336" s="4">
        <f t="shared" si="48"/>
        <v>32.833323985867729</v>
      </c>
      <c r="K336" s="4">
        <f t="shared" si="49"/>
        <v>547.7075423228564</v>
      </c>
      <c r="L336" s="4">
        <f t="shared" si="50"/>
        <v>527.39308271317714</v>
      </c>
      <c r="M336" s="4">
        <f t="shared" si="51"/>
        <v>15538.462975699436</v>
      </c>
      <c r="N336" s="4">
        <f t="shared" si="52"/>
        <v>14962.141756572835</v>
      </c>
      <c r="O336" s="4">
        <f t="shared" si="53"/>
        <v>576.32121912660114</v>
      </c>
    </row>
    <row r="337" spans="1:15" x14ac:dyDescent="0.25">
      <c r="A337" s="4">
        <f>'Data - SKU Detail'!A326</f>
        <v>7</v>
      </c>
      <c r="B337" s="4">
        <f>'Data - SKU Detail'!B326</f>
        <v>25</v>
      </c>
      <c r="C337" s="4">
        <f>'Data - SKU Detail'!C326</f>
        <v>56.06</v>
      </c>
      <c r="D337" s="4">
        <f>'Data - SKU Detail'!F326</f>
        <v>23112</v>
      </c>
      <c r="E337" s="4">
        <f t="shared" si="45"/>
        <v>11.212000000000002</v>
      </c>
      <c r="F337" s="4">
        <f t="shared" si="46"/>
        <v>1758.4209502607985</v>
      </c>
      <c r="G337" s="4">
        <f>'Data - SKU Detail'!G326</f>
        <v>13.0477594900971</v>
      </c>
      <c r="H337" s="4">
        <f>'Data - SKU Detail'!H326</f>
        <v>8.7275777299572006</v>
      </c>
      <c r="I337" s="4">
        <f t="shared" si="47"/>
        <v>56.782200586224818</v>
      </c>
      <c r="J337" s="4">
        <f t="shared" si="48"/>
        <v>37.981315464193194</v>
      </c>
      <c r="K337" s="4">
        <f t="shared" si="49"/>
        <v>935.99267571662403</v>
      </c>
      <c r="L337" s="4">
        <f t="shared" si="50"/>
        <v>917.19179059459248</v>
      </c>
      <c r="M337" s="4">
        <f t="shared" si="51"/>
        <v>10494.349880134791</v>
      </c>
      <c r="N337" s="4">
        <f t="shared" si="52"/>
        <v>10283.554356146573</v>
      </c>
      <c r="O337" s="4">
        <f t="shared" si="53"/>
        <v>210.79552398821761</v>
      </c>
    </row>
    <row r="338" spans="1:15" x14ac:dyDescent="0.25">
      <c r="A338" s="4">
        <f>'Data - SKU Detail'!A327</f>
        <v>7</v>
      </c>
      <c r="B338" s="4">
        <f>'Data - SKU Detail'!B327</f>
        <v>26</v>
      </c>
      <c r="C338" s="4">
        <f>'Data - SKU Detail'!C327</f>
        <v>390.5</v>
      </c>
      <c r="D338" s="4">
        <f>'Data - SKU Detail'!F327</f>
        <v>13306</v>
      </c>
      <c r="E338" s="4">
        <f t="shared" si="45"/>
        <v>78.100000000000009</v>
      </c>
      <c r="F338" s="4">
        <f t="shared" si="46"/>
        <v>505.52643673010272</v>
      </c>
      <c r="G338" s="4">
        <f>'Data - SKU Detail'!G327</f>
        <v>7.66077087607189</v>
      </c>
      <c r="H338" s="4">
        <f>'Data - SKU Detail'!H327</f>
        <v>5.6502734288250904</v>
      </c>
      <c r="I338" s="4">
        <f t="shared" si="47"/>
        <v>33.338706837781089</v>
      </c>
      <c r="J338" s="4">
        <f t="shared" si="48"/>
        <v>24.589275993787876</v>
      </c>
      <c r="K338" s="4">
        <f t="shared" si="49"/>
        <v>286.10192520283243</v>
      </c>
      <c r="L338" s="4">
        <f t="shared" si="50"/>
        <v>277.35249435883924</v>
      </c>
      <c r="M338" s="4">
        <f t="shared" si="51"/>
        <v>22344.560358341216</v>
      </c>
      <c r="N338" s="4">
        <f t="shared" si="52"/>
        <v>21661.229809425346</v>
      </c>
      <c r="O338" s="4">
        <f t="shared" si="53"/>
        <v>683.33054891587017</v>
      </c>
    </row>
    <row r="339" spans="1:15" x14ac:dyDescent="0.25">
      <c r="A339" s="4">
        <f>'Data - SKU Detail'!A328</f>
        <v>7</v>
      </c>
      <c r="B339" s="4">
        <f>'Data - SKU Detail'!B328</f>
        <v>27</v>
      </c>
      <c r="C339" s="4">
        <f>'Data - SKU Detail'!C328</f>
        <v>1639.41</v>
      </c>
      <c r="D339" s="4">
        <f>'Data - SKU Detail'!F328</f>
        <v>6326</v>
      </c>
      <c r="E339" s="4">
        <f t="shared" si="45"/>
        <v>327.88200000000006</v>
      </c>
      <c r="F339" s="4">
        <f t="shared" si="46"/>
        <v>170.11845724197968</v>
      </c>
      <c r="G339" s="4">
        <f>'Data - SKU Detail'!G328</f>
        <v>6.1162003981296502</v>
      </c>
      <c r="H339" s="4">
        <f>'Data - SKU Detail'!H328</f>
        <v>4.2497154844504799</v>
      </c>
      <c r="I339" s="4">
        <f t="shared" si="47"/>
        <v>26.61693128967703</v>
      </c>
      <c r="J339" s="4">
        <f t="shared" si="48"/>
        <v>18.494224794348732</v>
      </c>
      <c r="K339" s="4">
        <f t="shared" si="49"/>
        <v>111.67615991066687</v>
      </c>
      <c r="L339" s="4">
        <f t="shared" si="50"/>
        <v>103.55345341533857</v>
      </c>
      <c r="M339" s="4">
        <f t="shared" si="51"/>
        <v>36616.602663829282</v>
      </c>
      <c r="N339" s="4">
        <f t="shared" si="52"/>
        <v>33953.313412728043</v>
      </c>
      <c r="O339" s="4">
        <f t="shared" si="53"/>
        <v>2663.2892511012396</v>
      </c>
    </row>
    <row r="340" spans="1:15" x14ac:dyDescent="0.25">
      <c r="A340" s="4">
        <f>'Data - SKU Detail'!A329</f>
        <v>7</v>
      </c>
      <c r="B340" s="4">
        <f>'Data - SKU Detail'!B329</f>
        <v>28</v>
      </c>
      <c r="C340" s="4">
        <f>'Data - SKU Detail'!C329</f>
        <v>43.52</v>
      </c>
      <c r="D340" s="4">
        <f>'Data - SKU Detail'!F329</f>
        <v>24717</v>
      </c>
      <c r="E340" s="4">
        <f t="shared" si="45"/>
        <v>8.7040000000000006</v>
      </c>
      <c r="F340" s="4">
        <f t="shared" si="46"/>
        <v>2063.8782159907537</v>
      </c>
      <c r="G340" s="4">
        <f>'Data - SKU Detail'!G329</f>
        <v>13.6472302834655</v>
      </c>
      <c r="H340" s="4">
        <f>'Data - SKU Detail'!H329</f>
        <v>8.1563230056446301</v>
      </c>
      <c r="I340" s="4">
        <f t="shared" si="47"/>
        <v>59.391021729844361</v>
      </c>
      <c r="J340" s="4">
        <f t="shared" si="48"/>
        <v>35.495287087722595</v>
      </c>
      <c r="K340" s="4">
        <f t="shared" si="49"/>
        <v>1091.3301297252212</v>
      </c>
      <c r="L340" s="4">
        <f t="shared" si="50"/>
        <v>1067.4343950830994</v>
      </c>
      <c r="M340" s="4">
        <f t="shared" si="51"/>
        <v>9498.937449128327</v>
      </c>
      <c r="N340" s="4">
        <f t="shared" si="52"/>
        <v>9290.9489748032975</v>
      </c>
      <c r="O340" s="4">
        <f t="shared" si="53"/>
        <v>207.98847432502953</v>
      </c>
    </row>
    <row r="341" spans="1:15" x14ac:dyDescent="0.25">
      <c r="A341" s="4">
        <f>'Data - SKU Detail'!A330</f>
        <v>7</v>
      </c>
      <c r="B341" s="4">
        <f>'Data - SKU Detail'!B330</f>
        <v>29</v>
      </c>
      <c r="C341" s="4">
        <f>'Data - SKU Detail'!C330</f>
        <v>119.82</v>
      </c>
      <c r="D341" s="4">
        <f>'Data - SKU Detail'!F330</f>
        <v>19874</v>
      </c>
      <c r="E341" s="4">
        <f t="shared" si="45"/>
        <v>23.963999999999999</v>
      </c>
      <c r="F341" s="4">
        <f t="shared" si="46"/>
        <v>1115.3434388024702</v>
      </c>
      <c r="G341" s="4">
        <f>'Data - SKU Detail'!G330</f>
        <v>11.4105717069482</v>
      </c>
      <c r="H341" s="4">
        <f>'Data - SKU Detail'!H330</f>
        <v>7.9996083858071296</v>
      </c>
      <c r="I341" s="4">
        <f t="shared" si="47"/>
        <v>49.657366228982561</v>
      </c>
      <c r="J341" s="4">
        <f t="shared" si="48"/>
        <v>34.813284864646619</v>
      </c>
      <c r="K341" s="4">
        <f t="shared" si="49"/>
        <v>607.32908563021772</v>
      </c>
      <c r="L341" s="4">
        <f t="shared" si="50"/>
        <v>592.4850042658818</v>
      </c>
      <c r="M341" s="4">
        <f t="shared" si="51"/>
        <v>14554.034208042536</v>
      </c>
      <c r="N341" s="4">
        <f t="shared" si="52"/>
        <v>14198.310642227591</v>
      </c>
      <c r="O341" s="4">
        <f t="shared" si="53"/>
        <v>355.72356581494569</v>
      </c>
    </row>
    <row r="342" spans="1:15" x14ac:dyDescent="0.25">
      <c r="A342" s="4">
        <f>'Data - SKU Detail'!A331</f>
        <v>7</v>
      </c>
      <c r="B342" s="4">
        <f>'Data - SKU Detail'!B331</f>
        <v>30</v>
      </c>
      <c r="C342" s="4">
        <f>'Data - SKU Detail'!C331</f>
        <v>595.5</v>
      </c>
      <c r="D342" s="4">
        <f>'Data - SKU Detail'!F331</f>
        <v>11436</v>
      </c>
      <c r="E342" s="4">
        <f t="shared" si="45"/>
        <v>119.10000000000001</v>
      </c>
      <c r="F342" s="4">
        <f t="shared" si="46"/>
        <v>379.51314430497911</v>
      </c>
      <c r="G342" s="4">
        <f>'Data - SKU Detail'!G331</f>
        <v>7.4261694911331499</v>
      </c>
      <c r="H342" s="4">
        <f>'Data - SKU Detail'!H331</f>
        <v>5.2610977624190998</v>
      </c>
      <c r="I342" s="4">
        <f t="shared" si="47"/>
        <v>32.317751254754896</v>
      </c>
      <c r="J342" s="4">
        <f t="shared" si="48"/>
        <v>22.895632669819907</v>
      </c>
      <c r="K342" s="4">
        <f t="shared" si="49"/>
        <v>222.07432340724444</v>
      </c>
      <c r="L342" s="4">
        <f t="shared" si="50"/>
        <v>212.65220482230947</v>
      </c>
      <c r="M342" s="4">
        <f t="shared" si="51"/>
        <v>26449.051917802815</v>
      </c>
      <c r="N342" s="4">
        <f t="shared" si="52"/>
        <v>25326.87759433706</v>
      </c>
      <c r="O342" s="4">
        <f t="shared" si="53"/>
        <v>1122.1743234657552</v>
      </c>
    </row>
    <row r="343" spans="1:15" x14ac:dyDescent="0.25">
      <c r="A343" s="4">
        <f>'Data - SKU Detail'!A332</f>
        <v>7</v>
      </c>
      <c r="B343" s="4">
        <f>'Data - SKU Detail'!B332</f>
        <v>31</v>
      </c>
      <c r="C343" s="4">
        <f>'Data - SKU Detail'!C332</f>
        <v>198.8</v>
      </c>
      <c r="D343" s="4">
        <f>'Data - SKU Detail'!F332</f>
        <v>16780</v>
      </c>
      <c r="E343" s="4">
        <f t="shared" si="45"/>
        <v>39.760000000000005</v>
      </c>
      <c r="F343" s="4">
        <f t="shared" si="46"/>
        <v>795.64331816362949</v>
      </c>
      <c r="G343" s="4">
        <f>'Data - SKU Detail'!G332</f>
        <v>10.5622797474753</v>
      </c>
      <c r="H343" s="4">
        <f>'Data - SKU Detail'!H332</f>
        <v>6.7646530952803596</v>
      </c>
      <c r="I343" s="4">
        <f t="shared" si="47"/>
        <v>45.96570681151475</v>
      </c>
      <c r="J343" s="4">
        <f t="shared" si="48"/>
        <v>29.438915489204614</v>
      </c>
      <c r="K343" s="4">
        <f t="shared" si="49"/>
        <v>443.78736589332948</v>
      </c>
      <c r="L343" s="4">
        <f t="shared" si="50"/>
        <v>427.26057457101933</v>
      </c>
      <c r="M343" s="4">
        <f t="shared" si="51"/>
        <v>17644.985667918783</v>
      </c>
      <c r="N343" s="4">
        <f t="shared" si="52"/>
        <v>16987.88044494373</v>
      </c>
      <c r="O343" s="4">
        <f t="shared" si="53"/>
        <v>657.10522297505304</v>
      </c>
    </row>
    <row r="344" spans="1:15" x14ac:dyDescent="0.25">
      <c r="A344" s="4">
        <f>'Data - SKU Detail'!A333</f>
        <v>7</v>
      </c>
      <c r="B344" s="4">
        <f>'Data - SKU Detail'!B333</f>
        <v>32</v>
      </c>
      <c r="C344" s="4">
        <f>'Data - SKU Detail'!C333</f>
        <v>462.3</v>
      </c>
      <c r="D344" s="4">
        <f>'Data - SKU Detail'!F333</f>
        <v>12289</v>
      </c>
      <c r="E344" s="4">
        <f t="shared" si="45"/>
        <v>92.460000000000008</v>
      </c>
      <c r="F344" s="4">
        <f t="shared" si="46"/>
        <v>446.50564830129281</v>
      </c>
      <c r="G344" s="4">
        <f>'Data - SKU Detail'!G333</f>
        <v>8.9556960176757308</v>
      </c>
      <c r="H344" s="4">
        <f>'Data - SKU Detail'!H333</f>
        <v>6.0933051852521398</v>
      </c>
      <c r="I344" s="4">
        <f t="shared" si="47"/>
        <v>38.974057427321092</v>
      </c>
      <c r="J344" s="4">
        <f t="shared" si="48"/>
        <v>26.517294216272834</v>
      </c>
      <c r="K344" s="4">
        <f t="shared" si="49"/>
        <v>262.2268815779675</v>
      </c>
      <c r="L344" s="4">
        <f t="shared" si="50"/>
        <v>249.77011836691923</v>
      </c>
      <c r="M344" s="4">
        <f t="shared" si="51"/>
        <v>24245.497470698876</v>
      </c>
      <c r="N344" s="4">
        <f t="shared" si="52"/>
        <v>23093.745144205353</v>
      </c>
      <c r="O344" s="4">
        <f t="shared" si="53"/>
        <v>1151.7523264935226</v>
      </c>
    </row>
    <row r="345" spans="1:15" x14ac:dyDescent="0.25">
      <c r="A345" s="4">
        <f>'Data - SKU Detail'!A334</f>
        <v>7</v>
      </c>
      <c r="B345" s="4">
        <f>'Data - SKU Detail'!B334</f>
        <v>33</v>
      </c>
      <c r="C345" s="4">
        <f>'Data - SKU Detail'!C334</f>
        <v>130.37</v>
      </c>
      <c r="D345" s="4">
        <f>'Data - SKU Detail'!F334</f>
        <v>19789</v>
      </c>
      <c r="E345" s="4">
        <f t="shared" si="45"/>
        <v>26.074000000000002</v>
      </c>
      <c r="F345" s="4">
        <f t="shared" si="46"/>
        <v>1066.9737211780036</v>
      </c>
      <c r="G345" s="4">
        <f>'Data - SKU Detail'!G334</f>
        <v>11.473207744081201</v>
      </c>
      <c r="H345" s="4">
        <f>'Data - SKU Detail'!H334</f>
        <v>7.8004973477547299</v>
      </c>
      <c r="I345" s="4">
        <f t="shared" si="47"/>
        <v>49.929950347896742</v>
      </c>
      <c r="J345" s="4">
        <f t="shared" si="48"/>
        <v>33.946778786710112</v>
      </c>
      <c r="K345" s="4">
        <f t="shared" si="49"/>
        <v>583.41681093689851</v>
      </c>
      <c r="L345" s="4">
        <f t="shared" si="50"/>
        <v>567.43363937571189</v>
      </c>
      <c r="M345" s="4">
        <f t="shared" si="51"/>
        <v>15212.009928368692</v>
      </c>
      <c r="N345" s="4">
        <f t="shared" si="52"/>
        <v>14795.264713082313</v>
      </c>
      <c r="O345" s="4">
        <f t="shared" si="53"/>
        <v>416.74521528637888</v>
      </c>
    </row>
    <row r="346" spans="1:15" x14ac:dyDescent="0.25">
      <c r="A346" s="4">
        <f>'Data - SKU Detail'!A335</f>
        <v>7</v>
      </c>
      <c r="B346" s="4">
        <f>'Data - SKU Detail'!B335</f>
        <v>34</v>
      </c>
      <c r="C346" s="4">
        <f>'Data - SKU Detail'!C335</f>
        <v>1384.8</v>
      </c>
      <c r="D346" s="4">
        <f>'Data - SKU Detail'!F335</f>
        <v>7374</v>
      </c>
      <c r="E346" s="4">
        <f t="shared" si="45"/>
        <v>276.95999999999998</v>
      </c>
      <c r="F346" s="4">
        <f t="shared" si="46"/>
        <v>199.84287588835275</v>
      </c>
      <c r="G346" s="4">
        <f>'Data - SKU Detail'!G335</f>
        <v>5.4744662040951697</v>
      </c>
      <c r="H346" s="4">
        <f>'Data - SKU Detail'!H335</f>
        <v>4.1011517205330197</v>
      </c>
      <c r="I346" s="4">
        <f t="shared" si="47"/>
        <v>23.824185166761332</v>
      </c>
      <c r="J346" s="4">
        <f t="shared" si="48"/>
        <v>17.847694066294746</v>
      </c>
      <c r="K346" s="4">
        <f t="shared" si="49"/>
        <v>123.74562311093771</v>
      </c>
      <c r="L346" s="4">
        <f t="shared" si="50"/>
        <v>117.76913201047113</v>
      </c>
      <c r="M346" s="4">
        <f t="shared" si="51"/>
        <v>34272.587776805303</v>
      </c>
      <c r="N346" s="4">
        <f t="shared" si="52"/>
        <v>32617.338801620081</v>
      </c>
      <c r="O346" s="4">
        <f t="shared" si="53"/>
        <v>1655.2489751852227</v>
      </c>
    </row>
    <row r="347" spans="1:15" x14ac:dyDescent="0.25">
      <c r="A347" s="4">
        <f>'Data - SKU Detail'!A336</f>
        <v>7</v>
      </c>
      <c r="B347" s="4">
        <f>'Data - SKU Detail'!B336</f>
        <v>35</v>
      </c>
      <c r="C347" s="4">
        <f>'Data - SKU Detail'!C336</f>
        <v>167.93</v>
      </c>
      <c r="D347" s="4">
        <f>'Data - SKU Detail'!F336</f>
        <v>18832</v>
      </c>
      <c r="E347" s="4">
        <f t="shared" si="45"/>
        <v>33.586000000000006</v>
      </c>
      <c r="F347" s="4">
        <f t="shared" si="46"/>
        <v>917.09581252534099</v>
      </c>
      <c r="G347" s="4">
        <f>'Data - SKU Detail'!G336</f>
        <v>10.607418141889401</v>
      </c>
      <c r="H347" s="4">
        <f>'Data - SKU Detail'!H336</f>
        <v>7.31967039611194</v>
      </c>
      <c r="I347" s="4">
        <f t="shared" si="47"/>
        <v>46.162143400318129</v>
      </c>
      <c r="J347" s="4">
        <f t="shared" si="48"/>
        <v>31.854280650446512</v>
      </c>
      <c r="K347" s="4">
        <f t="shared" si="49"/>
        <v>504.71004966298864</v>
      </c>
      <c r="L347" s="4">
        <f t="shared" si="50"/>
        <v>490.40218691311702</v>
      </c>
      <c r="M347" s="4">
        <f t="shared" si="51"/>
        <v>16951.191727981139</v>
      </c>
      <c r="N347" s="4">
        <f t="shared" si="52"/>
        <v>16470.64784966395</v>
      </c>
      <c r="O347" s="4">
        <f t="shared" si="53"/>
        <v>480.5438783171885</v>
      </c>
    </row>
    <row r="348" spans="1:15" x14ac:dyDescent="0.25">
      <c r="A348" s="4">
        <f>'Data - SKU Detail'!A337</f>
        <v>7</v>
      </c>
      <c r="B348" s="4">
        <f>'Data - SKU Detail'!B337</f>
        <v>36</v>
      </c>
      <c r="C348" s="4">
        <f>'Data - SKU Detail'!C337</f>
        <v>78.569999999999993</v>
      </c>
      <c r="D348" s="4">
        <f>'Data - SKU Detail'!F337</f>
        <v>21673</v>
      </c>
      <c r="E348" s="4">
        <f t="shared" si="45"/>
        <v>15.713999999999999</v>
      </c>
      <c r="F348" s="4">
        <f t="shared" si="46"/>
        <v>1438.3407032472498</v>
      </c>
      <c r="G348" s="4">
        <f>'Data - SKU Detail'!G337</f>
        <v>12.878363466702799</v>
      </c>
      <c r="H348" s="4">
        <f>'Data - SKU Detail'!H337</f>
        <v>8.1800341162091108</v>
      </c>
      <c r="I348" s="4">
        <f t="shared" si="47"/>
        <v>56.045010497291599</v>
      </c>
      <c r="J348" s="4">
        <f t="shared" si="48"/>
        <v>35.598474844763665</v>
      </c>
      <c r="K348" s="4">
        <f t="shared" si="49"/>
        <v>775.21536212091655</v>
      </c>
      <c r="L348" s="4">
        <f t="shared" si="50"/>
        <v>754.76882646838862</v>
      </c>
      <c r="M348" s="4">
        <f t="shared" si="51"/>
        <v>12181.734200368082</v>
      </c>
      <c r="N348" s="4">
        <f t="shared" si="52"/>
        <v>11860.437339124257</v>
      </c>
      <c r="O348" s="4">
        <f t="shared" si="53"/>
        <v>321.29686124382533</v>
      </c>
    </row>
    <row r="349" spans="1:15" x14ac:dyDescent="0.25">
      <c r="A349" s="4">
        <f>'Data - SKU Detail'!A338</f>
        <v>7</v>
      </c>
      <c r="B349" s="4">
        <f>'Data - SKU Detail'!B338</f>
        <v>37</v>
      </c>
      <c r="C349" s="4">
        <f>'Data - SKU Detail'!C338</f>
        <v>1169.73</v>
      </c>
      <c r="D349" s="4">
        <f>'Data - SKU Detail'!F338</f>
        <v>8320</v>
      </c>
      <c r="E349" s="4">
        <f t="shared" si="45"/>
        <v>233.94600000000003</v>
      </c>
      <c r="F349" s="4">
        <f t="shared" si="46"/>
        <v>230.96675922420806</v>
      </c>
      <c r="G349" s="4">
        <f>'Data - SKU Detail'!G338</f>
        <v>6.2530928802123098</v>
      </c>
      <c r="H349" s="4">
        <f>'Data - SKU Detail'!H338</f>
        <v>4.5478103838024504</v>
      </c>
      <c r="I349" s="4">
        <f t="shared" si="47"/>
        <v>27.212670073968948</v>
      </c>
      <c r="J349" s="4">
        <f t="shared" si="48"/>
        <v>19.791496129061855</v>
      </c>
      <c r="K349" s="4">
        <f t="shared" si="49"/>
        <v>142.69604968607297</v>
      </c>
      <c r="L349" s="4">
        <f t="shared" si="50"/>
        <v>135.27487574116589</v>
      </c>
      <c r="M349" s="4">
        <f t="shared" si="51"/>
        <v>33383.170039858029</v>
      </c>
      <c r="N349" s="4">
        <f t="shared" si="52"/>
        <v>31647.016080142799</v>
      </c>
      <c r="O349" s="4">
        <f t="shared" si="53"/>
        <v>1736.1539597152296</v>
      </c>
    </row>
    <row r="350" spans="1:15" x14ac:dyDescent="0.25">
      <c r="A350" s="4">
        <f>'Data - SKU Detail'!A339</f>
        <v>7</v>
      </c>
      <c r="B350" s="4">
        <f>'Data - SKU Detail'!B339</f>
        <v>38</v>
      </c>
      <c r="C350" s="4">
        <f>'Data - SKU Detail'!C339</f>
        <v>66.37</v>
      </c>
      <c r="D350" s="4">
        <f>'Data - SKU Detail'!F339</f>
        <v>22449</v>
      </c>
      <c r="E350" s="4">
        <f t="shared" si="45"/>
        <v>13.274000000000001</v>
      </c>
      <c r="F350" s="4">
        <f t="shared" si="46"/>
        <v>1592.7338966795623</v>
      </c>
      <c r="G350" s="4">
        <f>'Data - SKU Detail'!G339</f>
        <v>14.316519581213001</v>
      </c>
      <c r="H350" s="4">
        <f>'Data - SKU Detail'!H339</f>
        <v>9.3532439069274602</v>
      </c>
      <c r="I350" s="4">
        <f t="shared" si="47"/>
        <v>62.303684182256667</v>
      </c>
      <c r="J350" s="4">
        <f t="shared" si="48"/>
        <v>40.704135607199774</v>
      </c>
      <c r="K350" s="4">
        <f t="shared" si="49"/>
        <v>858.67063252203786</v>
      </c>
      <c r="L350" s="4">
        <f t="shared" si="50"/>
        <v>837.07108394698093</v>
      </c>
      <c r="M350" s="4">
        <f t="shared" si="51"/>
        <v>11397.993976097532</v>
      </c>
      <c r="N350" s="4">
        <f t="shared" si="52"/>
        <v>11111.281568312226</v>
      </c>
      <c r="O350" s="4">
        <f t="shared" si="53"/>
        <v>286.71240778530591</v>
      </c>
    </row>
    <row r="351" spans="1:15" x14ac:dyDescent="0.25">
      <c r="A351" s="4">
        <f>'Data - SKU Detail'!A340</f>
        <v>7</v>
      </c>
      <c r="B351" s="4">
        <f>'Data - SKU Detail'!B340</f>
        <v>39</v>
      </c>
      <c r="C351" s="4">
        <f>'Data - SKU Detail'!C340</f>
        <v>503.01</v>
      </c>
      <c r="D351" s="4">
        <f>'Data - SKU Detail'!F340</f>
        <v>12495</v>
      </c>
      <c r="E351" s="4">
        <f t="shared" si="45"/>
        <v>100.602</v>
      </c>
      <c r="F351" s="4">
        <f t="shared" si="46"/>
        <v>431.62883732631417</v>
      </c>
      <c r="G351" s="4">
        <f>'Data - SKU Detail'!G340</f>
        <v>9.1156698695995004</v>
      </c>
      <c r="H351" s="4">
        <f>'Data - SKU Detail'!H340</f>
        <v>5.9165236708742999</v>
      </c>
      <c r="I351" s="4">
        <f t="shared" si="47"/>
        <v>39.670243416600002</v>
      </c>
      <c r="J351" s="4">
        <f t="shared" si="48"/>
        <v>25.747963403809766</v>
      </c>
      <c r="K351" s="4">
        <f t="shared" si="49"/>
        <v>255.48466207975707</v>
      </c>
      <c r="L351" s="4">
        <f t="shared" si="50"/>
        <v>241.56238206696685</v>
      </c>
      <c r="M351" s="4">
        <f t="shared" si="51"/>
        <v>25702.267974547722</v>
      </c>
      <c r="N351" s="4">
        <f t="shared" si="52"/>
        <v>24301.658760701001</v>
      </c>
      <c r="O351" s="4">
        <f t="shared" si="53"/>
        <v>1400.6092138467211</v>
      </c>
    </row>
    <row r="352" spans="1:15" x14ac:dyDescent="0.25">
      <c r="A352" s="4">
        <f>'Data - SKU Detail'!A341</f>
        <v>7</v>
      </c>
      <c r="B352" s="4">
        <f>'Data - SKU Detail'!B341</f>
        <v>40</v>
      </c>
      <c r="C352" s="4">
        <f>'Data - SKU Detail'!C341</f>
        <v>1272.73</v>
      </c>
      <c r="D352" s="4">
        <f>'Data - SKU Detail'!F341</f>
        <v>8350</v>
      </c>
      <c r="E352" s="4">
        <f t="shared" si="45"/>
        <v>254.54600000000002</v>
      </c>
      <c r="F352" s="4">
        <f t="shared" si="46"/>
        <v>221.82256806518146</v>
      </c>
      <c r="G352" s="4">
        <f>'Data - SKU Detail'!G341</f>
        <v>7.0014929129460297</v>
      </c>
      <c r="H352" s="4">
        <f>'Data - SKU Detail'!H341</f>
        <v>4.7666891214961904</v>
      </c>
      <c r="I352" s="4">
        <f t="shared" si="47"/>
        <v>30.469612448610086</v>
      </c>
      <c r="J352" s="4">
        <f t="shared" si="48"/>
        <v>20.744028737991261</v>
      </c>
      <c r="K352" s="4">
        <f t="shared" si="49"/>
        <v>141.38089648120081</v>
      </c>
      <c r="L352" s="4">
        <f t="shared" si="50"/>
        <v>131.65531277058199</v>
      </c>
      <c r="M352" s="4">
        <f t="shared" si="51"/>
        <v>35987.941675703747</v>
      </c>
      <c r="N352" s="4">
        <f t="shared" si="52"/>
        <v>33512.333244500565</v>
      </c>
      <c r="O352" s="4">
        <f t="shared" si="53"/>
        <v>2475.6084312031817</v>
      </c>
    </row>
    <row r="353" spans="1:15" x14ac:dyDescent="0.25">
      <c r="A353" s="4">
        <f>'Data - SKU Detail'!A342</f>
        <v>7</v>
      </c>
      <c r="B353" s="4">
        <f>'Data - SKU Detail'!B342</f>
        <v>41</v>
      </c>
      <c r="C353" s="4">
        <f>'Data - SKU Detail'!C342</f>
        <v>2111.73</v>
      </c>
      <c r="D353" s="4">
        <f>'Data - SKU Detail'!F342</f>
        <v>6250</v>
      </c>
      <c r="E353" s="4">
        <f t="shared" si="45"/>
        <v>422.346</v>
      </c>
      <c r="F353" s="4">
        <f t="shared" si="46"/>
        <v>148.98805325809889</v>
      </c>
      <c r="G353" s="4">
        <f>'Data - SKU Detail'!G342</f>
        <v>6.36412056596334</v>
      </c>
      <c r="H353" s="4">
        <f>'Data - SKU Detail'!H342</f>
        <v>4.3664022306637902</v>
      </c>
      <c r="I353" s="4">
        <f t="shared" si="47"/>
        <v>27.695848532900857</v>
      </c>
      <c r="J353" s="4">
        <f t="shared" si="48"/>
        <v>19.002030769333697</v>
      </c>
      <c r="K353" s="4">
        <f t="shared" si="49"/>
        <v>102.1898751619503</v>
      </c>
      <c r="L353" s="4">
        <f t="shared" si="50"/>
        <v>93.496057398383144</v>
      </c>
      <c r="M353" s="4">
        <f t="shared" si="51"/>
        <v>43159.485015149061</v>
      </c>
      <c r="N353" s="4">
        <f t="shared" si="52"/>
        <v>39487.685857977529</v>
      </c>
      <c r="O353" s="4">
        <f t="shared" si="53"/>
        <v>3671.799157171532</v>
      </c>
    </row>
    <row r="354" spans="1:15" x14ac:dyDescent="0.25">
      <c r="A354" s="4">
        <f>'Data - SKU Detail'!A343</f>
        <v>7</v>
      </c>
      <c r="B354" s="4">
        <f>'Data - SKU Detail'!B343</f>
        <v>42</v>
      </c>
      <c r="C354" s="4">
        <f>'Data - SKU Detail'!C343</f>
        <v>704.99</v>
      </c>
      <c r="D354" s="4">
        <f>'Data - SKU Detail'!F343</f>
        <v>10239</v>
      </c>
      <c r="E354" s="4">
        <f t="shared" si="45"/>
        <v>140.99800000000002</v>
      </c>
      <c r="F354" s="4">
        <f t="shared" si="46"/>
        <v>330.04102317714279</v>
      </c>
      <c r="G354" s="4">
        <f>'Data - SKU Detail'!G343</f>
        <v>8.6968095264208092</v>
      </c>
      <c r="H354" s="4">
        <f>'Data - SKU Detail'!H343</f>
        <v>5.7878305194144097</v>
      </c>
      <c r="I354" s="4">
        <f t="shared" si="47"/>
        <v>37.847416130272514</v>
      </c>
      <c r="J354" s="4">
        <f t="shared" si="48"/>
        <v>25.187907070320861</v>
      </c>
      <c r="K354" s="4">
        <f t="shared" si="49"/>
        <v>202.8679277188439</v>
      </c>
      <c r="L354" s="4">
        <f t="shared" si="50"/>
        <v>190.20841865889224</v>
      </c>
      <c r="M354" s="4">
        <f t="shared" si="51"/>
        <v>28603.972072501558</v>
      </c>
      <c r="N354" s="4">
        <f t="shared" si="52"/>
        <v>26819.006614066493</v>
      </c>
      <c r="O354" s="4">
        <f t="shared" si="53"/>
        <v>1784.9654584350646</v>
      </c>
    </row>
    <row r="355" spans="1:15" x14ac:dyDescent="0.25">
      <c r="A355" s="4">
        <f>'Data - SKU Detail'!A344</f>
        <v>7</v>
      </c>
      <c r="B355" s="4">
        <f>'Data - SKU Detail'!B344</f>
        <v>43</v>
      </c>
      <c r="C355" s="4">
        <f>'Data - SKU Detail'!C344</f>
        <v>358.9</v>
      </c>
      <c r="D355" s="4">
        <f>'Data - SKU Detail'!F344</f>
        <v>14572</v>
      </c>
      <c r="E355" s="4">
        <f t="shared" si="45"/>
        <v>71.78</v>
      </c>
      <c r="F355" s="4">
        <f t="shared" si="46"/>
        <v>551.82768337829714</v>
      </c>
      <c r="G355" s="4">
        <f>'Data - SKU Detail'!G344</f>
        <v>10.0623949279769</v>
      </c>
      <c r="H355" s="4">
        <f>'Data - SKU Detail'!H344</f>
        <v>6.7562396997320198</v>
      </c>
      <c r="I355" s="4">
        <f t="shared" si="47"/>
        <v>43.790271242495407</v>
      </c>
      <c r="J355" s="4">
        <f t="shared" si="48"/>
        <v>29.402301454894761</v>
      </c>
      <c r="K355" s="4">
        <f t="shared" si="49"/>
        <v>319.70411293164398</v>
      </c>
      <c r="L355" s="4">
        <f t="shared" si="50"/>
        <v>305.31614314404334</v>
      </c>
      <c r="M355" s="4">
        <f t="shared" si="51"/>
        <v>22948.361226233406</v>
      </c>
      <c r="N355" s="4">
        <f t="shared" si="52"/>
        <v>21915.592754879432</v>
      </c>
      <c r="O355" s="4">
        <f t="shared" si="53"/>
        <v>1032.7684713539747</v>
      </c>
    </row>
    <row r="356" spans="1:15" x14ac:dyDescent="0.25">
      <c r="A356" s="4">
        <f>'Data - SKU Detail'!A345</f>
        <v>7</v>
      </c>
      <c r="B356" s="4">
        <f>'Data - SKU Detail'!B345</f>
        <v>44</v>
      </c>
      <c r="C356" s="4">
        <f>'Data - SKU Detail'!C345</f>
        <v>908.1</v>
      </c>
      <c r="D356" s="4">
        <f>'Data - SKU Detail'!F345</f>
        <v>8339</v>
      </c>
      <c r="E356" s="4">
        <f t="shared" si="45"/>
        <v>181.62</v>
      </c>
      <c r="F356" s="4">
        <f t="shared" si="46"/>
        <v>262.43441139475152</v>
      </c>
      <c r="G356" s="4">
        <f>'Data - SKU Detail'!G345</f>
        <v>6.6068707088745198</v>
      </c>
      <c r="H356" s="4">
        <f>'Data - SKU Detail'!H345</f>
        <v>4.62689211238808</v>
      </c>
      <c r="I356" s="4">
        <f t="shared" si="47"/>
        <v>28.752266480946187</v>
      </c>
      <c r="J356" s="4">
        <f t="shared" si="48"/>
        <v>20.135649819100571</v>
      </c>
      <c r="K356" s="4">
        <f t="shared" si="49"/>
        <v>159.96947217832195</v>
      </c>
      <c r="L356" s="4">
        <f t="shared" si="50"/>
        <v>151.35285551647632</v>
      </c>
      <c r="M356" s="4">
        <f t="shared" si="51"/>
        <v>29053.655537026832</v>
      </c>
      <c r="N356" s="4">
        <f t="shared" si="52"/>
        <v>27488.70561890243</v>
      </c>
      <c r="O356" s="4">
        <f t="shared" si="53"/>
        <v>1564.9499181244028</v>
      </c>
    </row>
    <row r="357" spans="1:15" x14ac:dyDescent="0.25">
      <c r="A357" s="4">
        <f>'Data - SKU Detail'!A346</f>
        <v>7</v>
      </c>
      <c r="B357" s="4">
        <f>'Data - SKU Detail'!B346</f>
        <v>45</v>
      </c>
      <c r="C357" s="4">
        <f>'Data - SKU Detail'!C346</f>
        <v>61</v>
      </c>
      <c r="D357" s="4">
        <f>'Data - SKU Detail'!F346</f>
        <v>22888</v>
      </c>
      <c r="E357" s="4">
        <f t="shared" si="45"/>
        <v>12.200000000000001</v>
      </c>
      <c r="F357" s="4">
        <f t="shared" si="46"/>
        <v>1677.5274545162406</v>
      </c>
      <c r="G357" s="4">
        <f>'Data - SKU Detail'!G346</f>
        <v>12.7343582326972</v>
      </c>
      <c r="H357" s="4">
        <f>'Data - SKU Detail'!H346</f>
        <v>8.4162818267302502</v>
      </c>
      <c r="I357" s="4">
        <f t="shared" si="47"/>
        <v>55.418317915398262</v>
      </c>
      <c r="J357" s="4">
        <f t="shared" si="48"/>
        <v>36.626595028694794</v>
      </c>
      <c r="K357" s="4">
        <f t="shared" si="49"/>
        <v>894.18204517351853</v>
      </c>
      <c r="L357" s="4">
        <f t="shared" si="50"/>
        <v>875.39032228681504</v>
      </c>
      <c r="M357" s="4">
        <f t="shared" si="51"/>
        <v>10909.020951116927</v>
      </c>
      <c r="N357" s="4">
        <f t="shared" si="52"/>
        <v>10679.761931899144</v>
      </c>
      <c r="O357" s="4">
        <f t="shared" si="53"/>
        <v>229.25901921778313</v>
      </c>
    </row>
    <row r="358" spans="1:15" x14ac:dyDescent="0.25">
      <c r="A358" s="4">
        <f>'Data - SKU Detail'!A347</f>
        <v>7</v>
      </c>
      <c r="B358" s="4">
        <f>'Data - SKU Detail'!B347</f>
        <v>46</v>
      </c>
      <c r="C358" s="4">
        <f>'Data - SKU Detail'!C347</f>
        <v>216.31</v>
      </c>
      <c r="D358" s="4">
        <f>'Data - SKU Detail'!F347</f>
        <v>16620</v>
      </c>
      <c r="E358" s="4">
        <f t="shared" si="45"/>
        <v>43.262</v>
      </c>
      <c r="F358" s="4">
        <f t="shared" si="46"/>
        <v>759.1154713417335</v>
      </c>
      <c r="G358" s="4">
        <f>'Data - SKU Detail'!G347</f>
        <v>10.933643183898701</v>
      </c>
      <c r="H358" s="4">
        <f>'Data - SKU Detail'!H347</f>
        <v>7.29046936702062</v>
      </c>
      <c r="I358" s="4">
        <f t="shared" si="47"/>
        <v>47.581833561351587</v>
      </c>
      <c r="J358" s="4">
        <f t="shared" si="48"/>
        <v>31.727201461682647</v>
      </c>
      <c r="K358" s="4">
        <f t="shared" si="49"/>
        <v>427.13956923221832</v>
      </c>
      <c r="L358" s="4">
        <f t="shared" si="50"/>
        <v>411.28493713254937</v>
      </c>
      <c r="M358" s="4">
        <f t="shared" si="51"/>
        <v>18478.91204412423</v>
      </c>
      <c r="N358" s="4">
        <f t="shared" si="52"/>
        <v>17793.008950228352</v>
      </c>
      <c r="O358" s="4">
        <f t="shared" si="53"/>
        <v>685.90309389587856</v>
      </c>
    </row>
    <row r="359" spans="1:15" x14ac:dyDescent="0.25">
      <c r="A359" s="4">
        <f>'Data - SKU Detail'!A348</f>
        <v>7</v>
      </c>
      <c r="B359" s="4">
        <f>'Data - SKU Detail'!B348</f>
        <v>47</v>
      </c>
      <c r="C359" s="4">
        <f>'Data - SKU Detail'!C348</f>
        <v>1940.83</v>
      </c>
      <c r="D359" s="4">
        <f>'Data - SKU Detail'!F348</f>
        <v>6365</v>
      </c>
      <c r="E359" s="4">
        <f t="shared" si="45"/>
        <v>388.166</v>
      </c>
      <c r="F359" s="4">
        <f t="shared" si="46"/>
        <v>156.8325079363876</v>
      </c>
      <c r="G359" s="4">
        <f>'Data - SKU Detail'!G348</f>
        <v>5.0954927948867201</v>
      </c>
      <c r="H359" s="4">
        <f>'Data - SKU Detail'!H348</f>
        <v>3.8526221982845499</v>
      </c>
      <c r="I359" s="4">
        <f t="shared" si="47"/>
        <v>22.174940776960007</v>
      </c>
      <c r="J359" s="4">
        <f t="shared" si="48"/>
        <v>16.766124989655811</v>
      </c>
      <c r="K359" s="4">
        <f t="shared" si="49"/>
        <v>100.59119474515381</v>
      </c>
      <c r="L359" s="4">
        <f t="shared" si="50"/>
        <v>95.182378957849608</v>
      </c>
      <c r="M359" s="4">
        <f t="shared" si="51"/>
        <v>39046.081699447372</v>
      </c>
      <c r="N359" s="4">
        <f t="shared" si="52"/>
        <v>36946.56331055265</v>
      </c>
      <c r="O359" s="4">
        <f t="shared" si="53"/>
        <v>2099.5183888947213</v>
      </c>
    </row>
    <row r="360" spans="1:15" x14ac:dyDescent="0.25">
      <c r="A360" s="4">
        <f>'Data - SKU Detail'!A349</f>
        <v>7</v>
      </c>
      <c r="B360" s="4">
        <f>'Data - SKU Detail'!B349</f>
        <v>48</v>
      </c>
      <c r="C360" s="4">
        <f>'Data - SKU Detail'!C349</f>
        <v>329.86</v>
      </c>
      <c r="D360" s="4">
        <f>'Data - SKU Detail'!F349</f>
        <v>14583</v>
      </c>
      <c r="E360" s="4">
        <f t="shared" si="45"/>
        <v>65.972000000000008</v>
      </c>
      <c r="F360" s="4">
        <f t="shared" si="46"/>
        <v>575.82331083136307</v>
      </c>
      <c r="G360" s="4">
        <f>'Data - SKU Detail'!G349</f>
        <v>9.8493914140876004</v>
      </c>
      <c r="H360" s="4">
        <f>'Data - SKU Detail'!H349</f>
        <v>6.5904257153921701</v>
      </c>
      <c r="I360" s="4">
        <f t="shared" si="47"/>
        <v>42.86330686516974</v>
      </c>
      <c r="J360" s="4">
        <f t="shared" si="48"/>
        <v>28.680699947300113</v>
      </c>
      <c r="K360" s="4">
        <f t="shared" si="49"/>
        <v>330.7749622808513</v>
      </c>
      <c r="L360" s="4">
        <f t="shared" si="50"/>
        <v>316.59235536298166</v>
      </c>
      <c r="M360" s="4">
        <f t="shared" si="51"/>
        <v>21821.885811592325</v>
      </c>
      <c r="N360" s="4">
        <f t="shared" si="52"/>
        <v>20886.230868006631</v>
      </c>
      <c r="O360" s="4">
        <f t="shared" si="53"/>
        <v>935.65494358569413</v>
      </c>
    </row>
    <row r="361" spans="1:15" x14ac:dyDescent="0.25">
      <c r="A361" s="4">
        <f>'Data - SKU Detail'!A350</f>
        <v>7</v>
      </c>
      <c r="B361" s="4">
        <f>'Data - SKU Detail'!B350</f>
        <v>49</v>
      </c>
      <c r="C361" s="4">
        <f>'Data - SKU Detail'!C350</f>
        <v>988.06</v>
      </c>
      <c r="D361" s="4">
        <f>'Data - SKU Detail'!F350</f>
        <v>8386</v>
      </c>
      <c r="E361" s="4">
        <f t="shared" si="45"/>
        <v>197.61199999999999</v>
      </c>
      <c r="F361" s="4">
        <f t="shared" si="46"/>
        <v>252.29950691951512</v>
      </c>
      <c r="G361" s="4">
        <f>'Data - SKU Detail'!G350</f>
        <v>7.3928078063955498</v>
      </c>
      <c r="H361" s="4">
        <f>'Data - SKU Detail'!H350</f>
        <v>5.0227833318997996</v>
      </c>
      <c r="I361" s="4">
        <f t="shared" si="47"/>
        <v>32.172565418358801</v>
      </c>
      <c r="J361" s="4">
        <f t="shared" si="48"/>
        <v>21.858518381607496</v>
      </c>
      <c r="K361" s="4">
        <f t="shared" si="49"/>
        <v>158.32231887811636</v>
      </c>
      <c r="L361" s="4">
        <f t="shared" si="50"/>
        <v>148.00827184136506</v>
      </c>
      <c r="M361" s="4">
        <f t="shared" si="51"/>
        <v>31286.390078142329</v>
      </c>
      <c r="N361" s="4">
        <f t="shared" si="52"/>
        <v>29248.21061511583</v>
      </c>
      <c r="O361" s="4">
        <f t="shared" si="53"/>
        <v>2038.1794630264994</v>
      </c>
    </row>
    <row r="362" spans="1:15" x14ac:dyDescent="0.25">
      <c r="A362" s="4">
        <f>'Data - SKU Detail'!A351</f>
        <v>7</v>
      </c>
      <c r="B362" s="4">
        <f>'Data - SKU Detail'!B351</f>
        <v>50</v>
      </c>
      <c r="C362" s="4">
        <f>'Data - SKU Detail'!C351</f>
        <v>154.34</v>
      </c>
      <c r="D362" s="4">
        <f>'Data - SKU Detail'!F351</f>
        <v>18464</v>
      </c>
      <c r="E362" s="4">
        <f t="shared" si="45"/>
        <v>30.868000000000002</v>
      </c>
      <c r="F362" s="4">
        <f t="shared" si="46"/>
        <v>947.22745950972194</v>
      </c>
      <c r="G362" s="4">
        <f>'Data - SKU Detail'!G351</f>
        <v>10.870584758682501</v>
      </c>
      <c r="H362" s="4">
        <f>'Data - SKU Detail'!H351</f>
        <v>7.0019625795527398</v>
      </c>
      <c r="I362" s="4">
        <f t="shared" si="47"/>
        <v>47.307411262872272</v>
      </c>
      <c r="J362" s="4">
        <f t="shared" si="48"/>
        <v>30.471656378335425</v>
      </c>
      <c r="K362" s="4">
        <f t="shared" si="49"/>
        <v>520.92114101773325</v>
      </c>
      <c r="L362" s="4">
        <f t="shared" si="50"/>
        <v>504.08538613319638</v>
      </c>
      <c r="M362" s="4">
        <f t="shared" si="51"/>
        <v>16079.793780935392</v>
      </c>
      <c r="N362" s="4">
        <f t="shared" si="52"/>
        <v>15560.107699159507</v>
      </c>
      <c r="O362" s="4">
        <f t="shared" si="53"/>
        <v>519.6860817758843</v>
      </c>
    </row>
    <row r="363" spans="1:15" x14ac:dyDescent="0.25">
      <c r="A363" s="4">
        <f>'Data - SKU Detail'!A352</f>
        <v>8</v>
      </c>
      <c r="B363" s="4">
        <f>'Data - SKU Detail'!B352</f>
        <v>1</v>
      </c>
      <c r="C363" s="4">
        <f>'Data - SKU Detail'!C352</f>
        <v>2297.6799999999998</v>
      </c>
      <c r="D363" s="4">
        <f>'Data - SKU Detail'!F352</f>
        <v>10842</v>
      </c>
      <c r="E363" s="4">
        <f t="shared" si="45"/>
        <v>459.536</v>
      </c>
      <c r="F363" s="4">
        <f t="shared" si="46"/>
        <v>188.12242187263388</v>
      </c>
      <c r="G363" s="4">
        <f>'Data - SKU Detail'!G352</f>
        <v>7.09790922292171</v>
      </c>
      <c r="H363" s="4">
        <f>'Data - SKU Detail'!H352</f>
        <v>5.8827895656961804</v>
      </c>
      <c r="I363" s="4">
        <f t="shared" si="47"/>
        <v>30.889204046460879</v>
      </c>
      <c r="J363" s="4">
        <f t="shared" si="48"/>
        <v>25.601156840715571</v>
      </c>
      <c r="K363" s="4">
        <f t="shared" si="49"/>
        <v>124.95041498277781</v>
      </c>
      <c r="L363" s="4">
        <f t="shared" si="50"/>
        <v>119.66236777703251</v>
      </c>
      <c r="M363" s="4">
        <f t="shared" si="51"/>
        <v>57419.213899525785</v>
      </c>
      <c r="N363" s="4">
        <f t="shared" si="52"/>
        <v>54989.165838786415</v>
      </c>
      <c r="O363" s="4">
        <f t="shared" si="53"/>
        <v>2430.0480607393692</v>
      </c>
    </row>
    <row r="364" spans="1:15" x14ac:dyDescent="0.25">
      <c r="A364" s="4">
        <f>'Data - SKU Detail'!A353</f>
        <v>8</v>
      </c>
      <c r="B364" s="4">
        <f>'Data - SKU Detail'!B353</f>
        <v>2</v>
      </c>
      <c r="C364" s="4">
        <f>'Data - SKU Detail'!C353</f>
        <v>235.35</v>
      </c>
      <c r="D364" s="4">
        <f>'Data - SKU Detail'!F353</f>
        <v>29396</v>
      </c>
      <c r="E364" s="4">
        <f t="shared" si="45"/>
        <v>47.07</v>
      </c>
      <c r="F364" s="4">
        <f t="shared" si="46"/>
        <v>967.87138398328307</v>
      </c>
      <c r="G364" s="4">
        <f>'Data - SKU Detail'!G353</f>
        <v>15.1972026683893</v>
      </c>
      <c r="H364" s="4">
        <f>'Data - SKU Detail'!H353</f>
        <v>9.8658821031890103</v>
      </c>
      <c r="I364" s="4">
        <f t="shared" si="47"/>
        <v>66.136305694547303</v>
      </c>
      <c r="J364" s="4">
        <f t="shared" si="48"/>
        <v>42.935072260375868</v>
      </c>
      <c r="K364" s="4">
        <f t="shared" si="49"/>
        <v>550.07199768618887</v>
      </c>
      <c r="L364" s="4">
        <f t="shared" si="50"/>
        <v>526.87076425201735</v>
      </c>
      <c r="M364" s="4">
        <f t="shared" si="51"/>
        <v>25891.88893108891</v>
      </c>
      <c r="N364" s="4">
        <f t="shared" si="52"/>
        <v>24799.806873342455</v>
      </c>
      <c r="O364" s="4">
        <f t="shared" si="53"/>
        <v>1092.0820577464547</v>
      </c>
    </row>
    <row r="365" spans="1:15" x14ac:dyDescent="0.25">
      <c r="A365" s="4">
        <f>'Data - SKU Detail'!A354</f>
        <v>8</v>
      </c>
      <c r="B365" s="4">
        <f>'Data - SKU Detail'!B354</f>
        <v>3</v>
      </c>
      <c r="C365" s="4">
        <f>'Data - SKU Detail'!C354</f>
        <v>767.06</v>
      </c>
      <c r="D365" s="4">
        <f>'Data - SKU Detail'!F354</f>
        <v>18363</v>
      </c>
      <c r="E365" s="4">
        <f t="shared" si="45"/>
        <v>153.41200000000001</v>
      </c>
      <c r="F365" s="4">
        <f t="shared" si="46"/>
        <v>423.72860254004445</v>
      </c>
      <c r="G365" s="4">
        <f>'Data - SKU Detail'!G354</f>
        <v>10.805820970285099</v>
      </c>
      <c r="H365" s="4">
        <f>'Data - SKU Detail'!H354</f>
        <v>7.3729898193192698</v>
      </c>
      <c r="I365" s="4">
        <f t="shared" si="47"/>
        <v>47.025567439318031</v>
      </c>
      <c r="J365" s="4">
        <f t="shared" si="48"/>
        <v>32.086320042803358</v>
      </c>
      <c r="K365" s="4">
        <f t="shared" si="49"/>
        <v>258.88986870934025</v>
      </c>
      <c r="L365" s="4">
        <f t="shared" si="50"/>
        <v>243.95062131282558</v>
      </c>
      <c r="M365" s="4">
        <f t="shared" si="51"/>
        <v>39716.812538437305</v>
      </c>
      <c r="N365" s="4">
        <f t="shared" si="52"/>
        <v>37424.952716843196</v>
      </c>
      <c r="O365" s="4">
        <f t="shared" si="53"/>
        <v>2291.8598215941092</v>
      </c>
    </row>
    <row r="366" spans="1:15" x14ac:dyDescent="0.25">
      <c r="A366" s="4">
        <f>'Data - SKU Detail'!A355</f>
        <v>8</v>
      </c>
      <c r="B366" s="4">
        <f>'Data - SKU Detail'!B355</f>
        <v>4</v>
      </c>
      <c r="C366" s="4">
        <f>'Data - SKU Detail'!C355</f>
        <v>1783.76</v>
      </c>
      <c r="D366" s="4">
        <f>'Data - SKU Detail'!F355</f>
        <v>10761</v>
      </c>
      <c r="E366" s="4">
        <f t="shared" si="45"/>
        <v>356.75200000000001</v>
      </c>
      <c r="F366" s="4">
        <f t="shared" si="46"/>
        <v>212.71040621603152</v>
      </c>
      <c r="G366" s="4">
        <f>'Data - SKU Detail'!G355</f>
        <v>7.0717688027143799</v>
      </c>
      <c r="H366" s="4">
        <f>'Data - SKU Detail'!H355</f>
        <v>4.7539908423986903</v>
      </c>
      <c r="I366" s="4">
        <f t="shared" si="47"/>
        <v>30.775444240821653</v>
      </c>
      <c r="J366" s="4">
        <f t="shared" si="48"/>
        <v>20.688767431913284</v>
      </c>
      <c r="K366" s="4">
        <f t="shared" si="49"/>
        <v>137.13064734883741</v>
      </c>
      <c r="L366" s="4">
        <f t="shared" si="50"/>
        <v>127.04397053992903</v>
      </c>
      <c r="M366" s="4">
        <f t="shared" si="51"/>
        <v>48921.632702992443</v>
      </c>
      <c r="N366" s="4">
        <f t="shared" si="52"/>
        <v>45323.190578060763</v>
      </c>
      <c r="O366" s="4">
        <f t="shared" si="53"/>
        <v>3598.4421249316802</v>
      </c>
    </row>
    <row r="367" spans="1:15" x14ac:dyDescent="0.25">
      <c r="A367" s="4">
        <f>'Data - SKU Detail'!A356</f>
        <v>8</v>
      </c>
      <c r="B367" s="4">
        <f>'Data - SKU Detail'!B356</f>
        <v>5</v>
      </c>
      <c r="C367" s="4">
        <f>'Data - SKU Detail'!C356</f>
        <v>2500</v>
      </c>
      <c r="D367" s="4">
        <f>'Data - SKU Detail'!F356</f>
        <v>9223</v>
      </c>
      <c r="E367" s="4">
        <f t="shared" si="45"/>
        <v>500</v>
      </c>
      <c r="F367" s="4">
        <f t="shared" si="46"/>
        <v>166.34001322592229</v>
      </c>
      <c r="G367" s="4">
        <f>'Data - SKU Detail'!G356</f>
        <v>6.8261113021132998</v>
      </c>
      <c r="H367" s="4">
        <f>'Data - SKU Detail'!H356</f>
        <v>4.9762049364854102</v>
      </c>
      <c r="I367" s="4">
        <f t="shared" si="47"/>
        <v>29.70637383948355</v>
      </c>
      <c r="J367" s="4">
        <f t="shared" si="48"/>
        <v>21.655815090409362</v>
      </c>
      <c r="K367" s="4">
        <f t="shared" si="49"/>
        <v>112.87638045244469</v>
      </c>
      <c r="L367" s="4">
        <f t="shared" si="50"/>
        <v>104.82582170337051</v>
      </c>
      <c r="M367" s="4">
        <f t="shared" si="51"/>
        <v>56438.190226222345</v>
      </c>
      <c r="N367" s="4">
        <f t="shared" si="52"/>
        <v>52412.910851685258</v>
      </c>
      <c r="O367" s="4">
        <f t="shared" si="53"/>
        <v>4025.2793745370873</v>
      </c>
    </row>
    <row r="368" spans="1:15" x14ac:dyDescent="0.25">
      <c r="A368" s="4">
        <f>'Data - SKU Detail'!A357</f>
        <v>8</v>
      </c>
      <c r="B368" s="4">
        <f>'Data - SKU Detail'!B357</f>
        <v>6</v>
      </c>
      <c r="C368" s="4">
        <f>'Data - SKU Detail'!C357</f>
        <v>278.63</v>
      </c>
      <c r="D368" s="4">
        <f>'Data - SKU Detail'!F357</f>
        <v>29203</v>
      </c>
      <c r="E368" s="4">
        <f t="shared" si="45"/>
        <v>55.725999999999999</v>
      </c>
      <c r="F368" s="4">
        <f t="shared" si="46"/>
        <v>886.60551502183228</v>
      </c>
      <c r="G368" s="4">
        <f>'Data - SKU Detail'!G357</f>
        <v>15.505220057146699</v>
      </c>
      <c r="H368" s="4">
        <f>'Data - SKU Detail'!H357</f>
        <v>9.8089974227480603</v>
      </c>
      <c r="I368" s="4">
        <f t="shared" si="47"/>
        <v>67.476758449347244</v>
      </c>
      <c r="J368" s="4">
        <f t="shared" si="48"/>
        <v>42.687517319044154</v>
      </c>
      <c r="K368" s="4">
        <f t="shared" si="49"/>
        <v>510.77951596026338</v>
      </c>
      <c r="L368" s="4">
        <f t="shared" si="50"/>
        <v>485.9902748299603</v>
      </c>
      <c r="M368" s="4">
        <f t="shared" si="51"/>
        <v>28463.699306401635</v>
      </c>
      <c r="N368" s="4">
        <f t="shared" si="52"/>
        <v>27082.294055174367</v>
      </c>
      <c r="O368" s="4">
        <f t="shared" si="53"/>
        <v>1381.4052512272683</v>
      </c>
    </row>
    <row r="369" spans="1:15" x14ac:dyDescent="0.25">
      <c r="A369" s="4">
        <f>'Data - SKU Detail'!A358</f>
        <v>8</v>
      </c>
      <c r="B369" s="4">
        <f>'Data - SKU Detail'!B358</f>
        <v>7</v>
      </c>
      <c r="C369" s="4">
        <f>'Data - SKU Detail'!C358</f>
        <v>256.08</v>
      </c>
      <c r="D369" s="4">
        <f>'Data - SKU Detail'!F358</f>
        <v>29064</v>
      </c>
      <c r="E369" s="4">
        <f t="shared" si="45"/>
        <v>51.216000000000001</v>
      </c>
      <c r="F369" s="4">
        <f t="shared" si="46"/>
        <v>922.61496262504124</v>
      </c>
      <c r="G369" s="4">
        <f>'Data - SKU Detail'!G358</f>
        <v>15.3779273566043</v>
      </c>
      <c r="H369" s="4">
        <f>'Data - SKU Detail'!H358</f>
        <v>11.121727729395699</v>
      </c>
      <c r="I369" s="4">
        <f t="shared" si="47"/>
        <v>66.922796701290295</v>
      </c>
      <c r="J369" s="4">
        <f t="shared" si="48"/>
        <v>48.400353736994404</v>
      </c>
      <c r="K369" s="4">
        <f t="shared" si="49"/>
        <v>528.2302780138109</v>
      </c>
      <c r="L369" s="4">
        <f t="shared" si="50"/>
        <v>509.70783504951504</v>
      </c>
      <c r="M369" s="4">
        <f t="shared" si="51"/>
        <v>27053.841918755341</v>
      </c>
      <c r="N369" s="4">
        <f t="shared" si="52"/>
        <v>26105.196479895963</v>
      </c>
      <c r="O369" s="4">
        <f t="shared" si="53"/>
        <v>948.64543885937746</v>
      </c>
    </row>
    <row r="370" spans="1:15" x14ac:dyDescent="0.25">
      <c r="A370" s="4">
        <f>'Data - SKU Detail'!A359</f>
        <v>8</v>
      </c>
      <c r="B370" s="4">
        <f>'Data - SKU Detail'!B359</f>
        <v>8</v>
      </c>
      <c r="C370" s="4">
        <f>'Data - SKU Detail'!C359</f>
        <v>85.49</v>
      </c>
      <c r="D370" s="4">
        <f>'Data - SKU Detail'!F359</f>
        <v>38621</v>
      </c>
      <c r="E370" s="4">
        <f t="shared" si="45"/>
        <v>17.097999999999999</v>
      </c>
      <c r="F370" s="4">
        <f t="shared" si="46"/>
        <v>1840.7072821693891</v>
      </c>
      <c r="G370" s="4">
        <f>'Data - SKU Detail'!G359</f>
        <v>16.467054369214399</v>
      </c>
      <c r="H370" s="4">
        <f>'Data - SKU Detail'!H359</f>
        <v>11.160855984251199</v>
      </c>
      <c r="I370" s="4">
        <f t="shared" si="47"/>
        <v>71.662539838097786</v>
      </c>
      <c r="J370" s="4">
        <f t="shared" si="48"/>
        <v>48.570634957879889</v>
      </c>
      <c r="K370" s="4">
        <f t="shared" si="49"/>
        <v>992.01618092279239</v>
      </c>
      <c r="L370" s="4">
        <f t="shared" si="50"/>
        <v>968.92427604257443</v>
      </c>
      <c r="M370" s="4">
        <f t="shared" si="51"/>
        <v>16961.492661417902</v>
      </c>
      <c r="N370" s="4">
        <f t="shared" si="52"/>
        <v>16566.667271775936</v>
      </c>
      <c r="O370" s="4">
        <f t="shared" si="53"/>
        <v>394.82538964196647</v>
      </c>
    </row>
    <row r="371" spans="1:15" x14ac:dyDescent="0.25">
      <c r="A371" s="4">
        <f>'Data - SKU Detail'!A360</f>
        <v>8</v>
      </c>
      <c r="B371" s="4">
        <f>'Data - SKU Detail'!B360</f>
        <v>9</v>
      </c>
      <c r="C371" s="4">
        <f>'Data - SKU Detail'!C360</f>
        <v>303.16000000000003</v>
      </c>
      <c r="D371" s="4">
        <f>'Data - SKU Detail'!F360</f>
        <v>26044</v>
      </c>
      <c r="E371" s="4">
        <f t="shared" si="45"/>
        <v>60.632000000000005</v>
      </c>
      <c r="F371" s="4">
        <f t="shared" si="46"/>
        <v>802.69124446195087</v>
      </c>
      <c r="G371" s="4">
        <f>'Data - SKU Detail'!G360</f>
        <v>13.6319225347108</v>
      </c>
      <c r="H371" s="4">
        <f>'Data - SKU Detail'!H360</f>
        <v>9.5899131673068396</v>
      </c>
      <c r="I371" s="4">
        <f t="shared" si="47"/>
        <v>59.324404341550789</v>
      </c>
      <c r="J371" s="4">
        <f t="shared" si="48"/>
        <v>41.734090322846932</v>
      </c>
      <c r="K371" s="4">
        <f t="shared" si="49"/>
        <v>460.67002657252624</v>
      </c>
      <c r="L371" s="4">
        <f t="shared" si="50"/>
        <v>443.07971255382239</v>
      </c>
      <c r="M371" s="4">
        <f t="shared" si="51"/>
        <v>27931.345051145414</v>
      </c>
      <c r="N371" s="4">
        <f t="shared" si="52"/>
        <v>26864.809131563361</v>
      </c>
      <c r="O371" s="4">
        <f t="shared" si="53"/>
        <v>1066.5359195820529</v>
      </c>
    </row>
    <row r="372" spans="1:15" x14ac:dyDescent="0.25">
      <c r="A372" s="4">
        <f>'Data - SKU Detail'!A361</f>
        <v>8</v>
      </c>
      <c r="B372" s="4">
        <f>'Data - SKU Detail'!B361</f>
        <v>10</v>
      </c>
      <c r="C372" s="4">
        <f>'Data - SKU Detail'!C361</f>
        <v>93.02</v>
      </c>
      <c r="D372" s="4">
        <f>'Data - SKU Detail'!F361</f>
        <v>36648</v>
      </c>
      <c r="E372" s="4">
        <f t="shared" si="45"/>
        <v>18.603999999999999</v>
      </c>
      <c r="F372" s="4">
        <f t="shared" si="46"/>
        <v>1718.9672538168636</v>
      </c>
      <c r="G372" s="4">
        <f>'Data - SKU Detail'!G361</f>
        <v>15.9606240275941</v>
      </c>
      <c r="H372" s="4">
        <f>'Data - SKU Detail'!H361</f>
        <v>9.6152136759172198</v>
      </c>
      <c r="I372" s="4">
        <f t="shared" si="47"/>
        <v>69.458618983896017</v>
      </c>
      <c r="J372" s="4">
        <f t="shared" si="48"/>
        <v>41.844194939347446</v>
      </c>
      <c r="K372" s="4">
        <f t="shared" si="49"/>
        <v>928.94224589232783</v>
      </c>
      <c r="L372" s="4">
        <f t="shared" si="50"/>
        <v>901.32782184777921</v>
      </c>
      <c r="M372" s="4">
        <f t="shared" si="51"/>
        <v>17282.041542580868</v>
      </c>
      <c r="N372" s="4">
        <f t="shared" si="52"/>
        <v>16768.302797656084</v>
      </c>
      <c r="O372" s="4">
        <f t="shared" si="53"/>
        <v>513.73874492478353</v>
      </c>
    </row>
    <row r="373" spans="1:15" x14ac:dyDescent="0.25">
      <c r="A373" s="4">
        <f>'Data - SKU Detail'!A362</f>
        <v>8</v>
      </c>
      <c r="B373" s="4">
        <f>'Data - SKU Detail'!B362</f>
        <v>11</v>
      </c>
      <c r="C373" s="4">
        <f>'Data - SKU Detail'!C362</f>
        <v>101.21</v>
      </c>
      <c r="D373" s="4">
        <f>'Data - SKU Detail'!F362</f>
        <v>34524</v>
      </c>
      <c r="E373" s="4">
        <f t="shared" si="45"/>
        <v>20.242000000000001</v>
      </c>
      <c r="F373" s="4">
        <f t="shared" si="46"/>
        <v>1599.482427896749</v>
      </c>
      <c r="G373" s="4">
        <f>'Data - SKU Detail'!G362</f>
        <v>13.7995469641806</v>
      </c>
      <c r="H373" s="4">
        <f>'Data - SKU Detail'!H362</f>
        <v>9.7178698093289508</v>
      </c>
      <c r="I373" s="4">
        <f t="shared" si="47"/>
        <v>60.05388467758317</v>
      </c>
      <c r="J373" s="4">
        <f t="shared" si="48"/>
        <v>42.290941460327943</v>
      </c>
      <c r="K373" s="4">
        <f t="shared" si="49"/>
        <v>859.79509862595762</v>
      </c>
      <c r="L373" s="4">
        <f t="shared" si="50"/>
        <v>842.03215540870247</v>
      </c>
      <c r="M373" s="4">
        <f t="shared" si="51"/>
        <v>17403.972386386635</v>
      </c>
      <c r="N373" s="4">
        <f t="shared" si="52"/>
        <v>17044.414889782955</v>
      </c>
      <c r="O373" s="4">
        <f t="shared" si="53"/>
        <v>359.55749660368019</v>
      </c>
    </row>
    <row r="374" spans="1:15" x14ac:dyDescent="0.25">
      <c r="A374" s="4">
        <f>'Data - SKU Detail'!A363</f>
        <v>8</v>
      </c>
      <c r="B374" s="4">
        <f>'Data - SKU Detail'!B363</f>
        <v>12</v>
      </c>
      <c r="C374" s="4">
        <f>'Data - SKU Detail'!C363</f>
        <v>110.12</v>
      </c>
      <c r="D374" s="4">
        <f>'Data - SKU Detail'!F363</f>
        <v>34784</v>
      </c>
      <c r="E374" s="4">
        <f t="shared" si="45"/>
        <v>22.024000000000001</v>
      </c>
      <c r="F374" s="4">
        <f t="shared" si="46"/>
        <v>1539.1724865441638</v>
      </c>
      <c r="G374" s="4">
        <f>'Data - SKU Detail'!G363</f>
        <v>15.980040106222001</v>
      </c>
      <c r="H374" s="4">
        <f>'Data - SKU Detail'!H363</f>
        <v>11.031936573388499</v>
      </c>
      <c r="I374" s="4">
        <f t="shared" si="47"/>
        <v>69.543115304669243</v>
      </c>
      <c r="J374" s="4">
        <f t="shared" si="48"/>
        <v>48.009593972060088</v>
      </c>
      <c r="K374" s="4">
        <f t="shared" si="49"/>
        <v>839.1293585767512</v>
      </c>
      <c r="L374" s="4">
        <f t="shared" si="50"/>
        <v>817.59583724414199</v>
      </c>
      <c r="M374" s="4">
        <f t="shared" si="51"/>
        <v>18480.984993294369</v>
      </c>
      <c r="N374" s="4">
        <f t="shared" si="52"/>
        <v>18006.730719464984</v>
      </c>
      <c r="O374" s="4">
        <f t="shared" si="53"/>
        <v>474.25427382938506</v>
      </c>
    </row>
    <row r="375" spans="1:15" x14ac:dyDescent="0.25">
      <c r="A375" s="4">
        <f>'Data - SKU Detail'!A364</f>
        <v>8</v>
      </c>
      <c r="B375" s="4">
        <f>'Data - SKU Detail'!B364</f>
        <v>13</v>
      </c>
      <c r="C375" s="4">
        <f>'Data - SKU Detail'!C364</f>
        <v>47.35</v>
      </c>
      <c r="D375" s="4">
        <f>'Data - SKU Detail'!F364</f>
        <v>42222</v>
      </c>
      <c r="E375" s="4">
        <f t="shared" si="45"/>
        <v>9.4700000000000006</v>
      </c>
      <c r="F375" s="4">
        <f t="shared" si="46"/>
        <v>2586.0685976931577</v>
      </c>
      <c r="G375" s="4">
        <f>'Data - SKU Detail'!G364</f>
        <v>18.110743895097901</v>
      </c>
      <c r="H375" s="4">
        <f>'Data - SKU Detail'!H364</f>
        <v>11.6571146919732</v>
      </c>
      <c r="I375" s="4">
        <f t="shared" si="47"/>
        <v>78.815668958160927</v>
      </c>
      <c r="J375" s="4">
        <f t="shared" si="48"/>
        <v>50.730290146643767</v>
      </c>
      <c r="K375" s="4">
        <f t="shared" si="49"/>
        <v>1371.8499678047397</v>
      </c>
      <c r="L375" s="4">
        <f t="shared" si="50"/>
        <v>1343.7645889932226</v>
      </c>
      <c r="M375" s="4">
        <f t="shared" si="51"/>
        <v>12991.419195110886</v>
      </c>
      <c r="N375" s="4">
        <f t="shared" si="52"/>
        <v>12725.450657765818</v>
      </c>
      <c r="O375" s="4">
        <f t="shared" si="53"/>
        <v>265.9685373450684</v>
      </c>
    </row>
    <row r="376" spans="1:15" x14ac:dyDescent="0.25">
      <c r="A376" s="4">
        <f>'Data - SKU Detail'!A365</f>
        <v>8</v>
      </c>
      <c r="B376" s="4">
        <f>'Data - SKU Detail'!B365</f>
        <v>14</v>
      </c>
      <c r="C376" s="4">
        <f>'Data - SKU Detail'!C365</f>
        <v>182.71</v>
      </c>
      <c r="D376" s="4">
        <f>'Data - SKU Detail'!F365</f>
        <v>29032</v>
      </c>
      <c r="E376" s="4">
        <f t="shared" si="45"/>
        <v>36.542000000000002</v>
      </c>
      <c r="F376" s="4">
        <f t="shared" si="46"/>
        <v>1091.661390212975</v>
      </c>
      <c r="G376" s="4">
        <f>'Data - SKU Detail'!G365</f>
        <v>15.056653642832099</v>
      </c>
      <c r="H376" s="4">
        <f>'Data - SKU Detail'!H365</f>
        <v>8.8971212530321395</v>
      </c>
      <c r="I376" s="4">
        <f t="shared" si="47"/>
        <v>65.524654095094959</v>
      </c>
      <c r="J376" s="4">
        <f t="shared" si="48"/>
        <v>38.7191474530985</v>
      </c>
      <c r="K376" s="4">
        <f t="shared" si="49"/>
        <v>611.3553492015825</v>
      </c>
      <c r="L376" s="4">
        <f t="shared" si="50"/>
        <v>584.54984255958595</v>
      </c>
      <c r="M376" s="4">
        <f t="shared" si="51"/>
        <v>22340.147170524229</v>
      </c>
      <c r="N376" s="4">
        <f t="shared" si="52"/>
        <v>21360.620346812389</v>
      </c>
      <c r="O376" s="4">
        <f t="shared" si="53"/>
        <v>979.52682371183982</v>
      </c>
    </row>
    <row r="377" spans="1:15" x14ac:dyDescent="0.25">
      <c r="A377" s="4">
        <f>'Data - SKU Detail'!A366</f>
        <v>8</v>
      </c>
      <c r="B377" s="4">
        <f>'Data - SKU Detail'!B366</f>
        <v>15</v>
      </c>
      <c r="C377" s="4">
        <f>'Data - SKU Detail'!C366</f>
        <v>40</v>
      </c>
      <c r="D377" s="4">
        <f>'Data - SKU Detail'!F366</f>
        <v>44075</v>
      </c>
      <c r="E377" s="4">
        <f t="shared" si="45"/>
        <v>8</v>
      </c>
      <c r="F377" s="4">
        <f t="shared" si="46"/>
        <v>2874.7282480262375</v>
      </c>
      <c r="G377" s="4">
        <f>'Data - SKU Detail'!G366</f>
        <v>17.403093233245801</v>
      </c>
      <c r="H377" s="4">
        <f>'Data - SKU Detail'!H366</f>
        <v>11.404126883904199</v>
      </c>
      <c r="I377" s="4">
        <f t="shared" si="47"/>
        <v>75.73606269650675</v>
      </c>
      <c r="J377" s="4">
        <f t="shared" si="48"/>
        <v>49.629319173462804</v>
      </c>
      <c r="K377" s="4">
        <f t="shared" si="49"/>
        <v>1513.1001867096254</v>
      </c>
      <c r="L377" s="4">
        <f t="shared" si="50"/>
        <v>1486.9934431865815</v>
      </c>
      <c r="M377" s="4">
        <f t="shared" si="51"/>
        <v>12104.801493677003</v>
      </c>
      <c r="N377" s="4">
        <f t="shared" si="52"/>
        <v>11895.947545492652</v>
      </c>
      <c r="O377" s="4">
        <f t="shared" si="53"/>
        <v>208.85394818435088</v>
      </c>
    </row>
    <row r="378" spans="1:15" x14ac:dyDescent="0.25">
      <c r="A378" s="4">
        <f>'Data - SKU Detail'!A367</f>
        <v>8</v>
      </c>
      <c r="B378" s="4">
        <f>'Data - SKU Detail'!B367</f>
        <v>16</v>
      </c>
      <c r="C378" s="4">
        <f>'Data - SKU Detail'!C367</f>
        <v>1506.73</v>
      </c>
      <c r="D378" s="4">
        <f>'Data - SKU Detail'!F367</f>
        <v>12962</v>
      </c>
      <c r="E378" s="4">
        <f t="shared" si="45"/>
        <v>301.346</v>
      </c>
      <c r="F378" s="4">
        <f t="shared" si="46"/>
        <v>254.00889343255255</v>
      </c>
      <c r="G378" s="4">
        <f>'Data - SKU Detail'!G367</f>
        <v>7.9150108074581098</v>
      </c>
      <c r="H378" s="4">
        <f>'Data - SKU Detail'!H367</f>
        <v>5.7893571531771402</v>
      </c>
      <c r="I378" s="4">
        <f t="shared" si="47"/>
        <v>34.445126893420309</v>
      </c>
      <c r="J378" s="4">
        <f t="shared" si="48"/>
        <v>25.194550787550842</v>
      </c>
      <c r="K378" s="4">
        <f t="shared" si="49"/>
        <v>161.44957360969659</v>
      </c>
      <c r="L378" s="4">
        <f t="shared" si="50"/>
        <v>152.19899750382712</v>
      </c>
      <c r="M378" s="4">
        <f t="shared" si="51"/>
        <v>48652.183208987626</v>
      </c>
      <c r="N378" s="4">
        <f t="shared" si="52"/>
        <v>45864.559101788283</v>
      </c>
      <c r="O378" s="4">
        <f t="shared" si="53"/>
        <v>2787.6241071993427</v>
      </c>
    </row>
    <row r="379" spans="1:15" x14ac:dyDescent="0.25">
      <c r="A379" s="4">
        <f>'Data - SKU Detail'!A368</f>
        <v>8</v>
      </c>
      <c r="B379" s="4">
        <f>'Data - SKU Detail'!B368</f>
        <v>17</v>
      </c>
      <c r="C379" s="4">
        <f>'Data - SKU Detail'!C368</f>
        <v>834.61</v>
      </c>
      <c r="D379" s="4">
        <f>'Data - SKU Detail'!F368</f>
        <v>16288</v>
      </c>
      <c r="E379" s="4">
        <f t="shared" si="45"/>
        <v>166.92200000000003</v>
      </c>
      <c r="F379" s="4">
        <f t="shared" si="46"/>
        <v>382.58040277130806</v>
      </c>
      <c r="G379" s="4">
        <f>'Data - SKU Detail'!G368</f>
        <v>9.2835309278471403</v>
      </c>
      <c r="H379" s="4">
        <f>'Data - SKU Detail'!H368</f>
        <v>6.0692229329219103</v>
      </c>
      <c r="I379" s="4">
        <f t="shared" si="47"/>
        <v>40.40075353117313</v>
      </c>
      <c r="J379" s="4">
        <f t="shared" si="48"/>
        <v>26.412491297164689</v>
      </c>
      <c r="K379" s="4">
        <f t="shared" si="49"/>
        <v>231.69095491682717</v>
      </c>
      <c r="L379" s="4">
        <f t="shared" si="50"/>
        <v>217.70269268281871</v>
      </c>
      <c r="M379" s="4">
        <f t="shared" si="51"/>
        <v>38674.317576626629</v>
      </c>
      <c r="N379" s="4">
        <f t="shared" si="52"/>
        <v>36339.368868001467</v>
      </c>
      <c r="O379" s="4">
        <f t="shared" si="53"/>
        <v>2334.9487086251611</v>
      </c>
    </row>
    <row r="380" spans="1:15" x14ac:dyDescent="0.25">
      <c r="A380" s="4">
        <f>'Data - SKU Detail'!A369</f>
        <v>8</v>
      </c>
      <c r="B380" s="4">
        <f>'Data - SKU Detail'!B369</f>
        <v>18</v>
      </c>
      <c r="C380" s="4">
        <f>'Data - SKU Detail'!C369</f>
        <v>51.52</v>
      </c>
      <c r="D380" s="4">
        <f>'Data - SKU Detail'!F369</f>
        <v>42518</v>
      </c>
      <c r="E380" s="4">
        <f t="shared" si="45"/>
        <v>10.304000000000002</v>
      </c>
      <c r="F380" s="4">
        <f t="shared" si="46"/>
        <v>2487.8782211913549</v>
      </c>
      <c r="G380" s="4">
        <f>'Data - SKU Detail'!G369</f>
        <v>17.124801867090301</v>
      </c>
      <c r="H380" s="4">
        <f>'Data - SKU Detail'!H369</f>
        <v>11.884874757501899</v>
      </c>
      <c r="I380" s="4">
        <f t="shared" si="47"/>
        <v>74.524973835890535</v>
      </c>
      <c r="J380" s="4">
        <f t="shared" si="48"/>
        <v>51.721473172066474</v>
      </c>
      <c r="K380" s="4">
        <f t="shared" si="49"/>
        <v>1318.4640844315679</v>
      </c>
      <c r="L380" s="4">
        <f t="shared" si="50"/>
        <v>1295.6605837677439</v>
      </c>
      <c r="M380" s="4">
        <f t="shared" si="51"/>
        <v>13585.453925982878</v>
      </c>
      <c r="N380" s="4">
        <f t="shared" si="52"/>
        <v>13350.486655142835</v>
      </c>
      <c r="O380" s="4">
        <f t="shared" si="53"/>
        <v>234.96727084004306</v>
      </c>
    </row>
    <row r="381" spans="1:15" x14ac:dyDescent="0.25">
      <c r="A381" s="4">
        <f>'Data - SKU Detail'!A370</f>
        <v>8</v>
      </c>
      <c r="B381" s="4">
        <f>'Data - SKU Detail'!B370</f>
        <v>19</v>
      </c>
      <c r="C381" s="4">
        <f>'Data - SKU Detail'!C370</f>
        <v>547.29999999999995</v>
      </c>
      <c r="D381" s="4">
        <f>'Data - SKU Detail'!F370</f>
        <v>20184</v>
      </c>
      <c r="E381" s="4">
        <f t="shared" si="45"/>
        <v>109.46</v>
      </c>
      <c r="F381" s="4">
        <f t="shared" si="46"/>
        <v>525.9222277659718</v>
      </c>
      <c r="G381" s="4">
        <f>'Data - SKU Detail'!G370</f>
        <v>11.2908968910321</v>
      </c>
      <c r="H381" s="4">
        <f>'Data - SKU Detail'!H370</f>
        <v>7.7974864645719002</v>
      </c>
      <c r="I381" s="4">
        <f t="shared" si="47"/>
        <v>49.136556552223496</v>
      </c>
      <c r="J381" s="4">
        <f t="shared" si="48"/>
        <v>33.933675803553591</v>
      </c>
      <c r="K381" s="4">
        <f t="shared" si="49"/>
        <v>312.09767043520941</v>
      </c>
      <c r="L381" s="4">
        <f t="shared" si="50"/>
        <v>296.89478968653947</v>
      </c>
      <c r="M381" s="4">
        <f t="shared" si="51"/>
        <v>34162.21100583802</v>
      </c>
      <c r="N381" s="4">
        <f t="shared" si="52"/>
        <v>32498.10367908861</v>
      </c>
      <c r="O381" s="4">
        <f t="shared" si="53"/>
        <v>1664.1073267494103</v>
      </c>
    </row>
    <row r="382" spans="1:15" x14ac:dyDescent="0.25">
      <c r="A382" s="4">
        <f>'Data - SKU Detail'!A371</f>
        <v>8</v>
      </c>
      <c r="B382" s="4">
        <f>'Data - SKU Detail'!B371</f>
        <v>20</v>
      </c>
      <c r="C382" s="4">
        <f>'Data - SKU Detail'!C371</f>
        <v>424.89</v>
      </c>
      <c r="D382" s="4">
        <f>'Data - SKU Detail'!F371</f>
        <v>23725</v>
      </c>
      <c r="E382" s="4">
        <f t="shared" si="45"/>
        <v>84.978000000000009</v>
      </c>
      <c r="F382" s="4">
        <f t="shared" si="46"/>
        <v>647.13589142024341</v>
      </c>
      <c r="G382" s="4">
        <f>'Data - SKU Detail'!G371</f>
        <v>10.927704046096</v>
      </c>
      <c r="H382" s="4">
        <f>'Data - SKU Detail'!H371</f>
        <v>7.9052233869078696</v>
      </c>
      <c r="I382" s="4">
        <f t="shared" si="47"/>
        <v>47.555987184103593</v>
      </c>
      <c r="J382" s="4">
        <f t="shared" si="48"/>
        <v>34.402533275923965</v>
      </c>
      <c r="K382" s="4">
        <f t="shared" si="49"/>
        <v>371.12393289422528</v>
      </c>
      <c r="L382" s="4">
        <f t="shared" si="50"/>
        <v>357.97047898604569</v>
      </c>
      <c r="M382" s="4">
        <f t="shared" si="51"/>
        <v>31537.36956948548</v>
      </c>
      <c r="N382" s="4">
        <f t="shared" si="52"/>
        <v>30419.615363276193</v>
      </c>
      <c r="O382" s="4">
        <f t="shared" si="53"/>
        <v>1117.7542062092871</v>
      </c>
    </row>
    <row r="383" spans="1:15" x14ac:dyDescent="0.25">
      <c r="A383" s="4">
        <f>'Data - SKU Detail'!A372</f>
        <v>8</v>
      </c>
      <c r="B383" s="4">
        <f>'Data - SKU Detail'!B372</f>
        <v>21</v>
      </c>
      <c r="C383" s="4">
        <f>'Data - SKU Detail'!C372</f>
        <v>647.92999999999995</v>
      </c>
      <c r="D383" s="4">
        <f>'Data - SKU Detail'!F372</f>
        <v>20094</v>
      </c>
      <c r="E383" s="4">
        <f t="shared" si="45"/>
        <v>129.58599999999998</v>
      </c>
      <c r="F383" s="4">
        <f t="shared" si="46"/>
        <v>482.28059301730525</v>
      </c>
      <c r="G383" s="4">
        <f>'Data - SKU Detail'!G372</f>
        <v>12.8626235863129</v>
      </c>
      <c r="H383" s="4">
        <f>'Data - SKU Detail'!H372</f>
        <v>8.0634532479260592</v>
      </c>
      <c r="I383" s="4">
        <f t="shared" si="47"/>
        <v>55.976512526725784</v>
      </c>
      <c r="J383" s="4">
        <f t="shared" si="48"/>
        <v>35.091129637152449</v>
      </c>
      <c r="K383" s="4">
        <f t="shared" si="49"/>
        <v>297.11680903537842</v>
      </c>
      <c r="L383" s="4">
        <f t="shared" si="50"/>
        <v>276.23142614580507</v>
      </c>
      <c r="M383" s="4">
        <f t="shared" si="51"/>
        <v>38502.178815658546</v>
      </c>
      <c r="N383" s="4">
        <f t="shared" si="52"/>
        <v>35795.725588530295</v>
      </c>
      <c r="O383" s="4">
        <f t="shared" si="53"/>
        <v>2706.4532271282515</v>
      </c>
    </row>
    <row r="384" spans="1:15" x14ac:dyDescent="0.25">
      <c r="A384" s="4">
        <f>'Data - SKU Detail'!A373</f>
        <v>8</v>
      </c>
      <c r="B384" s="4">
        <f>'Data - SKU Detail'!B373</f>
        <v>22</v>
      </c>
      <c r="C384" s="4">
        <f>'Data - SKU Detail'!C373</f>
        <v>72.209999999999994</v>
      </c>
      <c r="D384" s="4">
        <f>'Data - SKU Detail'!F373</f>
        <v>40393</v>
      </c>
      <c r="E384" s="4">
        <f t="shared" si="45"/>
        <v>14.442</v>
      </c>
      <c r="F384" s="4">
        <f t="shared" si="46"/>
        <v>2048.2596704536704</v>
      </c>
      <c r="G384" s="4">
        <f>'Data - SKU Detail'!G373</f>
        <v>17.927043314154702</v>
      </c>
      <c r="H384" s="4">
        <f>'Data - SKU Detail'!H373</f>
        <v>10.683979319513501</v>
      </c>
      <c r="I384" s="4">
        <f t="shared" si="47"/>
        <v>78.016227242298555</v>
      </c>
      <c r="J384" s="4">
        <f t="shared" si="48"/>
        <v>46.495327971069052</v>
      </c>
      <c r="K384" s="4">
        <f t="shared" si="49"/>
        <v>1102.1460624691338</v>
      </c>
      <c r="L384" s="4">
        <f t="shared" si="50"/>
        <v>1070.6251631979042</v>
      </c>
      <c r="M384" s="4">
        <f t="shared" si="51"/>
        <v>15917.193434179229</v>
      </c>
      <c r="N384" s="4">
        <f t="shared" si="52"/>
        <v>15461.968606904133</v>
      </c>
      <c r="O384" s="4">
        <f t="shared" si="53"/>
        <v>455.22482727509669</v>
      </c>
    </row>
    <row r="385" spans="1:15" x14ac:dyDescent="0.25">
      <c r="A385" s="4">
        <f>'Data - SKU Detail'!A374</f>
        <v>8</v>
      </c>
      <c r="B385" s="4">
        <f>'Data - SKU Detail'!B374</f>
        <v>23</v>
      </c>
      <c r="C385" s="4">
        <f>'Data - SKU Detail'!C374</f>
        <v>1075.06</v>
      </c>
      <c r="D385" s="4">
        <f>'Data - SKU Detail'!F374</f>
        <v>14626</v>
      </c>
      <c r="E385" s="4">
        <f t="shared" si="45"/>
        <v>215.012</v>
      </c>
      <c r="F385" s="4">
        <f t="shared" si="46"/>
        <v>319.43100260200981</v>
      </c>
      <c r="G385" s="4">
        <f>'Data - SKU Detail'!G374</f>
        <v>10.4596921588226</v>
      </c>
      <c r="H385" s="4">
        <f>'Data - SKU Detail'!H374</f>
        <v>7.7608247126047898</v>
      </c>
      <c r="I385" s="4">
        <f t="shared" si="47"/>
        <v>45.519258588664243</v>
      </c>
      <c r="J385" s="4">
        <f t="shared" si="48"/>
        <v>33.774128491571112</v>
      </c>
      <c r="K385" s="4">
        <f t="shared" si="49"/>
        <v>205.23475988966914</v>
      </c>
      <c r="L385" s="4">
        <f t="shared" si="50"/>
        <v>193.48962979257601</v>
      </c>
      <c r="M385" s="4">
        <f t="shared" si="51"/>
        <v>44127.936193397538</v>
      </c>
      <c r="N385" s="4">
        <f t="shared" si="52"/>
        <v>41602.592280961355</v>
      </c>
      <c r="O385" s="4">
        <f t="shared" si="53"/>
        <v>2525.343912436183</v>
      </c>
    </row>
    <row r="386" spans="1:15" x14ac:dyDescent="0.25">
      <c r="A386" s="4">
        <f>'Data - SKU Detail'!A375</f>
        <v>8</v>
      </c>
      <c r="B386" s="4">
        <f>'Data - SKU Detail'!B375</f>
        <v>24</v>
      </c>
      <c r="C386" s="4">
        <f>'Data - SKU Detail'!C375</f>
        <v>141.85</v>
      </c>
      <c r="D386" s="4">
        <f>'Data - SKU Detail'!F375</f>
        <v>32867</v>
      </c>
      <c r="E386" s="4">
        <f t="shared" si="45"/>
        <v>28.37</v>
      </c>
      <c r="F386" s="4">
        <f t="shared" si="46"/>
        <v>1318.2445789106368</v>
      </c>
      <c r="G386" s="4">
        <f>'Data - SKU Detail'!G375</f>
        <v>14.9948987981432</v>
      </c>
      <c r="H386" s="4">
        <f>'Data - SKU Detail'!H375</f>
        <v>9.9925654039600094</v>
      </c>
      <c r="I386" s="4">
        <f t="shared" si="47"/>
        <v>65.255904814350032</v>
      </c>
      <c r="J386" s="4">
        <f t="shared" si="48"/>
        <v>43.486381977631424</v>
      </c>
      <c r="K386" s="4">
        <f t="shared" si="49"/>
        <v>724.37819426966848</v>
      </c>
      <c r="L386" s="4">
        <f t="shared" si="50"/>
        <v>702.6086714329499</v>
      </c>
      <c r="M386" s="4">
        <f t="shared" si="51"/>
        <v>20550.609371430495</v>
      </c>
      <c r="N386" s="4">
        <f t="shared" si="52"/>
        <v>19933.008008552788</v>
      </c>
      <c r="O386" s="4">
        <f t="shared" si="53"/>
        <v>617.60136287770729</v>
      </c>
    </row>
    <row r="387" spans="1:15" x14ac:dyDescent="0.25">
      <c r="A387" s="4">
        <f>'Data - SKU Detail'!A376</f>
        <v>8</v>
      </c>
      <c r="B387" s="4">
        <f>'Data - SKU Detail'!B376</f>
        <v>25</v>
      </c>
      <c r="C387" s="4">
        <f>'Data - SKU Detail'!C376</f>
        <v>56.06</v>
      </c>
      <c r="D387" s="4">
        <f>'Data - SKU Detail'!F376</f>
        <v>40252</v>
      </c>
      <c r="E387" s="4">
        <f t="shared" si="45"/>
        <v>11.212000000000002</v>
      </c>
      <c r="F387" s="4">
        <f t="shared" si="46"/>
        <v>2320.5867970002114</v>
      </c>
      <c r="G387" s="4">
        <f>'Data - SKU Detail'!G376</f>
        <v>17.505565288030901</v>
      </c>
      <c r="H387" s="4">
        <f>'Data - SKU Detail'!H376</f>
        <v>10.650953729525201</v>
      </c>
      <c r="I387" s="4">
        <f t="shared" si="47"/>
        <v>76.182008130564327</v>
      </c>
      <c r="J387" s="4">
        <f t="shared" si="48"/>
        <v>46.351604776552982</v>
      </c>
      <c r="K387" s="4">
        <f t="shared" si="49"/>
        <v>1236.47540663067</v>
      </c>
      <c r="L387" s="4">
        <f t="shared" si="50"/>
        <v>1206.6450032766586</v>
      </c>
      <c r="M387" s="4">
        <f t="shared" si="51"/>
        <v>13863.362259143074</v>
      </c>
      <c r="N387" s="4">
        <f t="shared" si="52"/>
        <v>13528.903776737898</v>
      </c>
      <c r="O387" s="4">
        <f t="shared" si="53"/>
        <v>334.45848240517626</v>
      </c>
    </row>
    <row r="388" spans="1:15" x14ac:dyDescent="0.25">
      <c r="A388" s="4">
        <f>'Data - SKU Detail'!A377</f>
        <v>8</v>
      </c>
      <c r="B388" s="4">
        <f>'Data - SKU Detail'!B377</f>
        <v>26</v>
      </c>
      <c r="C388" s="4">
        <f>'Data - SKU Detail'!C377</f>
        <v>390.5</v>
      </c>
      <c r="D388" s="4">
        <f>'Data - SKU Detail'!F377</f>
        <v>23873</v>
      </c>
      <c r="E388" s="4">
        <f t="shared" si="45"/>
        <v>78.100000000000009</v>
      </c>
      <c r="F388" s="4">
        <f t="shared" si="46"/>
        <v>677.13242623821543</v>
      </c>
      <c r="G388" s="4">
        <f>'Data - SKU Detail'!G377</f>
        <v>14.5145156926</v>
      </c>
      <c r="H388" s="4">
        <f>'Data - SKU Detail'!H377</f>
        <v>8.8003088817560204</v>
      </c>
      <c r="I388" s="4">
        <f t="shared" si="47"/>
        <v>63.165338240227463</v>
      </c>
      <c r="J388" s="4">
        <f t="shared" si="48"/>
        <v>38.297832246514496</v>
      </c>
      <c r="K388" s="4">
        <f t="shared" si="49"/>
        <v>401.73155135933519</v>
      </c>
      <c r="L388" s="4">
        <f t="shared" si="50"/>
        <v>376.86404536562219</v>
      </c>
      <c r="M388" s="4">
        <f t="shared" si="51"/>
        <v>31375.23416116408</v>
      </c>
      <c r="N388" s="4">
        <f t="shared" si="52"/>
        <v>29433.081943055095</v>
      </c>
      <c r="O388" s="4">
        <f t="shared" si="53"/>
        <v>1942.1522181089858</v>
      </c>
    </row>
    <row r="389" spans="1:15" x14ac:dyDescent="0.25">
      <c r="A389" s="4">
        <f>'Data - SKU Detail'!A378</f>
        <v>8</v>
      </c>
      <c r="B389" s="4">
        <f>'Data - SKU Detail'!B378</f>
        <v>27</v>
      </c>
      <c r="C389" s="4">
        <f>'Data - SKU Detail'!C378</f>
        <v>1639.41</v>
      </c>
      <c r="D389" s="4">
        <f>'Data - SKU Detail'!F378</f>
        <v>11163</v>
      </c>
      <c r="E389" s="4">
        <f t="shared" si="45"/>
        <v>327.88200000000006</v>
      </c>
      <c r="F389" s="4">
        <f t="shared" si="46"/>
        <v>225.98379841494486</v>
      </c>
      <c r="G389" s="4">
        <f>'Data - SKU Detail'!G378</f>
        <v>7.1830462789929097</v>
      </c>
      <c r="H389" s="4">
        <f>'Data - SKU Detail'!H378</f>
        <v>4.9665223521704798</v>
      </c>
      <c r="I389" s="4">
        <f t="shared" si="47"/>
        <v>31.259709756565719</v>
      </c>
      <c r="J389" s="4">
        <f t="shared" si="48"/>
        <v>21.613677706961983</v>
      </c>
      <c r="K389" s="4">
        <f t="shared" si="49"/>
        <v>144.25160896403816</v>
      </c>
      <c r="L389" s="4">
        <f t="shared" si="50"/>
        <v>134.60557691443441</v>
      </c>
      <c r="M389" s="4">
        <f t="shared" si="51"/>
        <v>47297.506050346768</v>
      </c>
      <c r="N389" s="4">
        <f t="shared" si="52"/>
        <v>44134.745769858593</v>
      </c>
      <c r="O389" s="4">
        <f t="shared" si="53"/>
        <v>3162.7602804881753</v>
      </c>
    </row>
    <row r="390" spans="1:15" x14ac:dyDescent="0.25">
      <c r="A390" s="4">
        <f>'Data - SKU Detail'!A379</f>
        <v>8</v>
      </c>
      <c r="B390" s="4">
        <f>'Data - SKU Detail'!B379</f>
        <v>28</v>
      </c>
      <c r="C390" s="4">
        <f>'Data - SKU Detail'!C379</f>
        <v>43.52</v>
      </c>
      <c r="D390" s="4">
        <f>'Data - SKU Detail'!F379</f>
        <v>43859</v>
      </c>
      <c r="E390" s="4">
        <f t="shared" si="45"/>
        <v>8.7040000000000006</v>
      </c>
      <c r="F390" s="4">
        <f t="shared" si="46"/>
        <v>2749.2583391600679</v>
      </c>
      <c r="G390" s="4">
        <f>'Data - SKU Detail'!G379</f>
        <v>19.276209811366702</v>
      </c>
      <c r="H390" s="4">
        <f>'Data - SKU Detail'!H379</f>
        <v>12.151132963092101</v>
      </c>
      <c r="I390" s="4">
        <f t="shared" si="47"/>
        <v>83.887629357508459</v>
      </c>
      <c r="J390" s="4">
        <f t="shared" si="48"/>
        <v>52.88019523841249</v>
      </c>
      <c r="K390" s="4">
        <f t="shared" si="49"/>
        <v>1458.5167989375425</v>
      </c>
      <c r="L390" s="4">
        <f t="shared" si="50"/>
        <v>1427.5093648184463</v>
      </c>
      <c r="M390" s="4">
        <f t="shared" si="51"/>
        <v>12694.930217952371</v>
      </c>
      <c r="N390" s="4">
        <f t="shared" si="52"/>
        <v>12425.041511379757</v>
      </c>
      <c r="O390" s="4">
        <f t="shared" si="53"/>
        <v>269.88870657261396</v>
      </c>
    </row>
    <row r="391" spans="1:15" x14ac:dyDescent="0.25">
      <c r="A391" s="4">
        <f>'Data - SKU Detail'!A380</f>
        <v>8</v>
      </c>
      <c r="B391" s="4">
        <f>'Data - SKU Detail'!B380</f>
        <v>29</v>
      </c>
      <c r="C391" s="4">
        <f>'Data - SKU Detail'!C380</f>
        <v>119.82</v>
      </c>
      <c r="D391" s="4">
        <f>'Data - SKU Detail'!F380</f>
        <v>34762</v>
      </c>
      <c r="E391" s="4">
        <f t="shared" si="45"/>
        <v>23.963999999999999</v>
      </c>
      <c r="F391" s="4">
        <f t="shared" si="46"/>
        <v>1475.0894322887257</v>
      </c>
      <c r="G391" s="4">
        <f>'Data - SKU Detail'!G380</f>
        <v>15.631243138791699</v>
      </c>
      <c r="H391" s="4">
        <f>'Data - SKU Detail'!H380</f>
        <v>10.037293877954401</v>
      </c>
      <c r="I391" s="4">
        <f t="shared" si="47"/>
        <v>68.025194976391731</v>
      </c>
      <c r="J391" s="4">
        <f t="shared" si="48"/>
        <v>43.681034644565763</v>
      </c>
      <c r="K391" s="4">
        <f t="shared" si="49"/>
        <v>805.56991112075457</v>
      </c>
      <c r="L391" s="4">
        <f t="shared" si="50"/>
        <v>781.22575078892862</v>
      </c>
      <c r="M391" s="4">
        <f t="shared" si="51"/>
        <v>19304.677350097762</v>
      </c>
      <c r="N391" s="4">
        <f t="shared" si="52"/>
        <v>18721.293891905883</v>
      </c>
      <c r="O391" s="4">
        <f t="shared" si="53"/>
        <v>583.38345819187816</v>
      </c>
    </row>
    <row r="392" spans="1:15" x14ac:dyDescent="0.25">
      <c r="A392" s="4">
        <f>'Data - SKU Detail'!A381</f>
        <v>8</v>
      </c>
      <c r="B392" s="4">
        <f>'Data - SKU Detail'!B381</f>
        <v>30</v>
      </c>
      <c r="C392" s="4">
        <f>'Data - SKU Detail'!C381</f>
        <v>595.5</v>
      </c>
      <c r="D392" s="4">
        <f>'Data - SKU Detail'!F381</f>
        <v>20148</v>
      </c>
      <c r="E392" s="4">
        <f t="shared" si="45"/>
        <v>119.10000000000001</v>
      </c>
      <c r="F392" s="4">
        <f t="shared" si="46"/>
        <v>503.73916724293889</v>
      </c>
      <c r="G392" s="4">
        <f>'Data - SKU Detail'!G381</f>
        <v>10.321723875175801</v>
      </c>
      <c r="H392" s="4">
        <f>'Data - SKU Detail'!H381</f>
        <v>6.4145175530716898</v>
      </c>
      <c r="I392" s="4">
        <f t="shared" si="47"/>
        <v>44.918838051903464</v>
      </c>
      <c r="J392" s="4">
        <f t="shared" si="48"/>
        <v>27.91516985263392</v>
      </c>
      <c r="K392" s="4">
        <f t="shared" si="49"/>
        <v>296.78842167337291</v>
      </c>
      <c r="L392" s="4">
        <f t="shared" si="50"/>
        <v>279.78475347410335</v>
      </c>
      <c r="M392" s="4">
        <f t="shared" si="51"/>
        <v>35347.501021298718</v>
      </c>
      <c r="N392" s="4">
        <f t="shared" si="52"/>
        <v>33322.364138765712</v>
      </c>
      <c r="O392" s="4">
        <f t="shared" si="53"/>
        <v>2025.1368825330064</v>
      </c>
    </row>
    <row r="393" spans="1:15" x14ac:dyDescent="0.25">
      <c r="A393" s="4">
        <f>'Data - SKU Detail'!A382</f>
        <v>8</v>
      </c>
      <c r="B393" s="4">
        <f>'Data - SKU Detail'!B382</f>
        <v>31</v>
      </c>
      <c r="C393" s="4">
        <f>'Data - SKU Detail'!C382</f>
        <v>198.8</v>
      </c>
      <c r="D393" s="4">
        <f>'Data - SKU Detail'!F382</f>
        <v>29118</v>
      </c>
      <c r="E393" s="4">
        <f t="shared" si="45"/>
        <v>39.760000000000005</v>
      </c>
      <c r="F393" s="4">
        <f t="shared" si="46"/>
        <v>1048.1011862313089</v>
      </c>
      <c r="G393" s="4">
        <f>'Data - SKU Detail'!G382</f>
        <v>10.926261118761399</v>
      </c>
      <c r="H393" s="4">
        <f>'Data - SKU Detail'!H382</f>
        <v>8.71468726327927</v>
      </c>
      <c r="I393" s="4">
        <f t="shared" si="47"/>
        <v>47.549707746671686</v>
      </c>
      <c r="J393" s="4">
        <f t="shared" si="48"/>
        <v>37.925217782049998</v>
      </c>
      <c r="K393" s="4">
        <f t="shared" si="49"/>
        <v>571.60030086232609</v>
      </c>
      <c r="L393" s="4">
        <f t="shared" si="50"/>
        <v>561.97581089770449</v>
      </c>
      <c r="M393" s="4">
        <f t="shared" si="51"/>
        <v>22726.82796228609</v>
      </c>
      <c r="N393" s="4">
        <f t="shared" si="52"/>
        <v>22344.158241292735</v>
      </c>
      <c r="O393" s="4">
        <f t="shared" si="53"/>
        <v>382.66972099335544</v>
      </c>
    </row>
    <row r="394" spans="1:15" x14ac:dyDescent="0.25">
      <c r="A394" s="4">
        <f>'Data - SKU Detail'!A383</f>
        <v>8</v>
      </c>
      <c r="B394" s="4">
        <f>'Data - SKU Detail'!B383</f>
        <v>32</v>
      </c>
      <c r="C394" s="4">
        <f>'Data - SKU Detail'!C383</f>
        <v>462.3</v>
      </c>
      <c r="D394" s="4">
        <f>'Data - SKU Detail'!F383</f>
        <v>22051</v>
      </c>
      <c r="E394" s="4">
        <f t="shared" si="45"/>
        <v>92.460000000000008</v>
      </c>
      <c r="F394" s="4">
        <f t="shared" si="46"/>
        <v>598.11243216097409</v>
      </c>
      <c r="G394" s="4">
        <f>'Data - SKU Detail'!G383</f>
        <v>12.6273115371214</v>
      </c>
      <c r="H394" s="4">
        <f>'Data - SKU Detail'!H383</f>
        <v>8.5638164634532306</v>
      </c>
      <c r="I394" s="4">
        <f t="shared" si="47"/>
        <v>54.952464222671111</v>
      </c>
      <c r="J394" s="4">
        <f t="shared" si="48"/>
        <v>37.268647125238893</v>
      </c>
      <c r="K394" s="4">
        <f t="shared" si="49"/>
        <v>354.00868030315814</v>
      </c>
      <c r="L394" s="4">
        <f t="shared" si="50"/>
        <v>336.32486320572593</v>
      </c>
      <c r="M394" s="4">
        <f t="shared" si="51"/>
        <v>32731.642580830005</v>
      </c>
      <c r="N394" s="4">
        <f t="shared" si="52"/>
        <v>31096.596852001421</v>
      </c>
      <c r="O394" s="4">
        <f t="shared" si="53"/>
        <v>1635.0457288285834</v>
      </c>
    </row>
    <row r="395" spans="1:15" x14ac:dyDescent="0.25">
      <c r="A395" s="4">
        <f>'Data - SKU Detail'!A384</f>
        <v>8</v>
      </c>
      <c r="B395" s="4">
        <f>'Data - SKU Detail'!B384</f>
        <v>33</v>
      </c>
      <c r="C395" s="4">
        <f>'Data - SKU Detail'!C384</f>
        <v>130.37</v>
      </c>
      <c r="D395" s="4">
        <f>'Data - SKU Detail'!F384</f>
        <v>35066</v>
      </c>
      <c r="E395" s="4">
        <f t="shared" si="45"/>
        <v>26.074000000000002</v>
      </c>
      <c r="F395" s="4">
        <f t="shared" si="46"/>
        <v>1420.3157832464542</v>
      </c>
      <c r="G395" s="4">
        <f>'Data - SKU Detail'!G384</f>
        <v>17.4979454121187</v>
      </c>
      <c r="H395" s="4">
        <f>'Data - SKU Detail'!H384</f>
        <v>11.307846493587199</v>
      </c>
      <c r="I395" s="4">
        <f t="shared" si="47"/>
        <v>76.148847393441827</v>
      </c>
      <c r="J395" s="4">
        <f t="shared" si="48"/>
        <v>49.210319080791784</v>
      </c>
      <c r="K395" s="4">
        <f t="shared" si="49"/>
        <v>786.30673901666887</v>
      </c>
      <c r="L395" s="4">
        <f t="shared" si="50"/>
        <v>759.36821070401891</v>
      </c>
      <c r="M395" s="4">
        <f t="shared" si="51"/>
        <v>20502.161913120624</v>
      </c>
      <c r="N395" s="4">
        <f t="shared" si="52"/>
        <v>19799.766725896588</v>
      </c>
      <c r="O395" s="4">
        <f t="shared" si="53"/>
        <v>702.39518722403591</v>
      </c>
    </row>
    <row r="396" spans="1:15" x14ac:dyDescent="0.25">
      <c r="A396" s="4">
        <f>'Data - SKU Detail'!A385</f>
        <v>8</v>
      </c>
      <c r="B396" s="4">
        <f>'Data - SKU Detail'!B385</f>
        <v>34</v>
      </c>
      <c r="C396" s="4">
        <f>'Data - SKU Detail'!C385</f>
        <v>1384.8</v>
      </c>
      <c r="D396" s="4">
        <f>'Data - SKU Detail'!F385</f>
        <v>12890</v>
      </c>
      <c r="E396" s="4">
        <f t="shared" si="45"/>
        <v>276.95999999999998</v>
      </c>
      <c r="F396" s="4">
        <f t="shared" si="46"/>
        <v>264.21870700232921</v>
      </c>
      <c r="G396" s="4">
        <f>'Data - SKU Detail'!G385</f>
        <v>8.3946209428424208</v>
      </c>
      <c r="H396" s="4">
        <f>'Data - SKU Detail'!H385</f>
        <v>6.0550856836096099</v>
      </c>
      <c r="I396" s="4">
        <f t="shared" si="47"/>
        <v>36.532329599083894</v>
      </c>
      <c r="J396" s="4">
        <f t="shared" si="48"/>
        <v>26.350967774540152</v>
      </c>
      <c r="K396" s="4">
        <f t="shared" si="49"/>
        <v>168.64168310024849</v>
      </c>
      <c r="L396" s="4">
        <f t="shared" si="50"/>
        <v>158.46032127570476</v>
      </c>
      <c r="M396" s="4">
        <f t="shared" si="51"/>
        <v>46707.00055144482</v>
      </c>
      <c r="N396" s="4">
        <f t="shared" si="52"/>
        <v>43887.170580519189</v>
      </c>
      <c r="O396" s="4">
        <f t="shared" si="53"/>
        <v>2819.8299709256316</v>
      </c>
    </row>
    <row r="397" spans="1:15" x14ac:dyDescent="0.25">
      <c r="A397" s="4">
        <f>'Data - SKU Detail'!A386</f>
        <v>8</v>
      </c>
      <c r="B397" s="4">
        <f>'Data - SKU Detail'!B386</f>
        <v>35</v>
      </c>
      <c r="C397" s="4">
        <f>'Data - SKU Detail'!C386</f>
        <v>167.93</v>
      </c>
      <c r="D397" s="4">
        <f>'Data - SKU Detail'!F386</f>
        <v>32682</v>
      </c>
      <c r="E397" s="4">
        <f t="shared" ref="E397:E460" si="54">C397*$B$6</f>
        <v>33.586000000000006</v>
      </c>
      <c r="F397" s="4">
        <f t="shared" ref="F397:F460" si="55">SQRT(2*D397*$B$5/E397)</f>
        <v>1208.1498394890004</v>
      </c>
      <c r="G397" s="4">
        <f>'Data - SKU Detail'!G386</f>
        <v>14.983491473031499</v>
      </c>
      <c r="H397" s="4">
        <f>'Data - SKU Detail'!H386</f>
        <v>11.248289713594</v>
      </c>
      <c r="I397" s="4">
        <f t="shared" ref="I397:I460" si="56">$B$9*G397*SQRT($B$7)</f>
        <v>65.20626157689334</v>
      </c>
      <c r="J397" s="4">
        <f t="shared" ref="J397:J460" si="57">$B$9*H397*SQRT($B$7)</f>
        <v>48.951135499855127</v>
      </c>
      <c r="K397" s="4">
        <f t="shared" ref="K397:K460" si="58">F397/2+I397</f>
        <v>669.28118132139355</v>
      </c>
      <c r="L397" s="4">
        <f t="shared" ref="L397:L460" si="59">F397/2+J397</f>
        <v>653.02605524435535</v>
      </c>
      <c r="M397" s="4">
        <f t="shared" ref="M397:M460" si="60">K397*E397</f>
        <v>22478.477755860327</v>
      </c>
      <c r="N397" s="4">
        <f t="shared" ref="N397:N460" si="61">L397*E397</f>
        <v>21932.533091436922</v>
      </c>
      <c r="O397" s="4">
        <f t="shared" ref="O397:O460" si="62">M397-N397</f>
        <v>545.9446644234049</v>
      </c>
    </row>
    <row r="398" spans="1:15" x14ac:dyDescent="0.25">
      <c r="A398" s="4">
        <f>'Data - SKU Detail'!A387</f>
        <v>8</v>
      </c>
      <c r="B398" s="4">
        <f>'Data - SKU Detail'!B387</f>
        <v>36</v>
      </c>
      <c r="C398" s="4">
        <f>'Data - SKU Detail'!C387</f>
        <v>78.569999999999993</v>
      </c>
      <c r="D398" s="4">
        <f>'Data - SKU Detail'!F387</f>
        <v>38382</v>
      </c>
      <c r="E398" s="4">
        <f t="shared" si="54"/>
        <v>15.713999999999999</v>
      </c>
      <c r="F398" s="4">
        <f t="shared" si="55"/>
        <v>1914.1063132010115</v>
      </c>
      <c r="G398" s="4">
        <f>'Data - SKU Detail'!G387</f>
        <v>17.785266238501801</v>
      </c>
      <c r="H398" s="4">
        <f>'Data - SKU Detail'!H387</f>
        <v>10.8835332679143</v>
      </c>
      <c r="I398" s="4">
        <f t="shared" si="56"/>
        <v>77.399231324006109</v>
      </c>
      <c r="J398" s="4">
        <f t="shared" si="57"/>
        <v>47.363761538875643</v>
      </c>
      <c r="K398" s="4">
        <f t="shared" si="58"/>
        <v>1034.4523879245119</v>
      </c>
      <c r="L398" s="4">
        <f t="shared" si="59"/>
        <v>1004.4169181393814</v>
      </c>
      <c r="M398" s="4">
        <f t="shared" si="60"/>
        <v>16255.384823845778</v>
      </c>
      <c r="N398" s="4">
        <f t="shared" si="61"/>
        <v>15783.407451642239</v>
      </c>
      <c r="O398" s="4">
        <f t="shared" si="62"/>
        <v>471.97737220353883</v>
      </c>
    </row>
    <row r="399" spans="1:15" x14ac:dyDescent="0.25">
      <c r="A399" s="4">
        <f>'Data - SKU Detail'!A388</f>
        <v>8</v>
      </c>
      <c r="B399" s="4">
        <f>'Data - SKU Detail'!B388</f>
        <v>37</v>
      </c>
      <c r="C399" s="4">
        <f>'Data - SKU Detail'!C388</f>
        <v>1169.73</v>
      </c>
      <c r="D399" s="4">
        <f>'Data - SKU Detail'!F388</f>
        <v>14762</v>
      </c>
      <c r="E399" s="4">
        <f t="shared" si="54"/>
        <v>233.94600000000003</v>
      </c>
      <c r="F399" s="4">
        <f t="shared" si="55"/>
        <v>307.65247836942041</v>
      </c>
      <c r="G399" s="4">
        <f>'Data - SKU Detail'!G388</f>
        <v>8.6441778555220505</v>
      </c>
      <c r="H399" s="4">
        <f>'Data - SKU Detail'!H388</f>
        <v>6.1660635364390997</v>
      </c>
      <c r="I399" s="4">
        <f t="shared" si="56"/>
        <v>37.618369749058203</v>
      </c>
      <c r="J399" s="4">
        <f t="shared" si="57"/>
        <v>26.833929366894402</v>
      </c>
      <c r="K399" s="4">
        <f t="shared" si="58"/>
        <v>191.44460893376839</v>
      </c>
      <c r="L399" s="4">
        <f t="shared" si="59"/>
        <v>180.66016855160461</v>
      </c>
      <c r="M399" s="4">
        <f t="shared" si="60"/>
        <v>44787.700481619388</v>
      </c>
      <c r="N399" s="4">
        <f t="shared" si="61"/>
        <v>42264.723791973694</v>
      </c>
      <c r="O399" s="4">
        <f t="shared" si="62"/>
        <v>2522.9766896456931</v>
      </c>
    </row>
    <row r="400" spans="1:15" x14ac:dyDescent="0.25">
      <c r="A400" s="4">
        <f>'Data - SKU Detail'!A389</f>
        <v>8</v>
      </c>
      <c r="B400" s="4">
        <f>'Data - SKU Detail'!B389</f>
        <v>38</v>
      </c>
      <c r="C400" s="4">
        <f>'Data - SKU Detail'!C389</f>
        <v>66.37</v>
      </c>
      <c r="D400" s="4">
        <f>'Data - SKU Detail'!F389</f>
        <v>40110</v>
      </c>
      <c r="E400" s="4">
        <f t="shared" si="54"/>
        <v>13.274000000000001</v>
      </c>
      <c r="F400" s="4">
        <f t="shared" si="55"/>
        <v>2128.9774128601944</v>
      </c>
      <c r="G400" s="4">
        <f>'Data - SKU Detail'!G389</f>
        <v>15.7071678489372</v>
      </c>
      <c r="H400" s="4">
        <f>'Data - SKU Detail'!H389</f>
        <v>11.544094672327001</v>
      </c>
      <c r="I400" s="4">
        <f t="shared" si="56"/>
        <v>68.35560972109981</v>
      </c>
      <c r="J400" s="4">
        <f t="shared" si="57"/>
        <v>50.238441302351362</v>
      </c>
      <c r="K400" s="4">
        <f t="shared" si="58"/>
        <v>1132.8443161511971</v>
      </c>
      <c r="L400" s="4">
        <f t="shared" si="59"/>
        <v>1114.7271477324484</v>
      </c>
      <c r="M400" s="4">
        <f t="shared" si="60"/>
        <v>15037.375452590992</v>
      </c>
      <c r="N400" s="4">
        <f t="shared" si="61"/>
        <v>14796.888159000522</v>
      </c>
      <c r="O400" s="4">
        <f t="shared" si="62"/>
        <v>240.48729359046956</v>
      </c>
    </row>
    <row r="401" spans="1:15" x14ac:dyDescent="0.25">
      <c r="A401" s="4">
        <f>'Data - SKU Detail'!A390</f>
        <v>8</v>
      </c>
      <c r="B401" s="4">
        <f>'Data - SKU Detail'!B390</f>
        <v>39</v>
      </c>
      <c r="C401" s="4">
        <f>'Data - SKU Detail'!C390</f>
        <v>503.01</v>
      </c>
      <c r="D401" s="4">
        <f>'Data - SKU Detail'!F390</f>
        <v>21866</v>
      </c>
      <c r="E401" s="4">
        <f t="shared" si="54"/>
        <v>100.602</v>
      </c>
      <c r="F401" s="4">
        <f t="shared" si="55"/>
        <v>570.98801700239449</v>
      </c>
      <c r="G401" s="4">
        <f>'Data - SKU Detail'!G390</f>
        <v>13.2923816682967</v>
      </c>
      <c r="H401" s="4">
        <f>'Data - SKU Detail'!H390</f>
        <v>8.4139056036310507</v>
      </c>
      <c r="I401" s="4">
        <f t="shared" si="56"/>
        <v>57.846765395295016</v>
      </c>
      <c r="J401" s="4">
        <f t="shared" si="57"/>
        <v>36.616254006026587</v>
      </c>
      <c r="K401" s="4">
        <f t="shared" si="58"/>
        <v>343.34077389649224</v>
      </c>
      <c r="L401" s="4">
        <f t="shared" si="59"/>
        <v>322.11026250722381</v>
      </c>
      <c r="M401" s="4">
        <f t="shared" si="60"/>
        <v>34540.768535534917</v>
      </c>
      <c r="N401" s="4">
        <f t="shared" si="61"/>
        <v>32404.93662875173</v>
      </c>
      <c r="O401" s="4">
        <f t="shared" si="62"/>
        <v>2135.8319067831872</v>
      </c>
    </row>
    <row r="402" spans="1:15" x14ac:dyDescent="0.25">
      <c r="A402" s="4">
        <f>'Data - SKU Detail'!A391</f>
        <v>8</v>
      </c>
      <c r="B402" s="4">
        <f>'Data - SKU Detail'!B391</f>
        <v>40</v>
      </c>
      <c r="C402" s="4">
        <f>'Data - SKU Detail'!C391</f>
        <v>1272.73</v>
      </c>
      <c r="D402" s="4">
        <f>'Data - SKU Detail'!F391</f>
        <v>14637</v>
      </c>
      <c r="E402" s="4">
        <f t="shared" si="54"/>
        <v>254.54600000000002</v>
      </c>
      <c r="F402" s="4">
        <f t="shared" si="55"/>
        <v>293.68957279912371</v>
      </c>
      <c r="G402" s="4">
        <f>'Data - SKU Detail'!G391</f>
        <v>8.9629752841130603</v>
      </c>
      <c r="H402" s="4">
        <f>'Data - SKU Detail'!H391</f>
        <v>6.2516926370166601</v>
      </c>
      <c r="I402" s="4">
        <f t="shared" si="56"/>
        <v>39.005735875048366</v>
      </c>
      <c r="J402" s="4">
        <f t="shared" si="57"/>
        <v>27.206576392516187</v>
      </c>
      <c r="K402" s="4">
        <f t="shared" si="58"/>
        <v>185.85052227461023</v>
      </c>
      <c r="L402" s="4">
        <f t="shared" si="59"/>
        <v>174.05136279207804</v>
      </c>
      <c r="M402" s="4">
        <f t="shared" si="60"/>
        <v>47307.507042912941</v>
      </c>
      <c r="N402" s="4">
        <f t="shared" si="61"/>
        <v>44304.078193272297</v>
      </c>
      <c r="O402" s="4">
        <f t="shared" si="62"/>
        <v>3003.4288496406443</v>
      </c>
    </row>
    <row r="403" spans="1:15" x14ac:dyDescent="0.25">
      <c r="A403" s="4">
        <f>'Data - SKU Detail'!A392</f>
        <v>8</v>
      </c>
      <c r="B403" s="4">
        <f>'Data - SKU Detail'!B392</f>
        <v>41</v>
      </c>
      <c r="C403" s="4">
        <f>'Data - SKU Detail'!C392</f>
        <v>2111.73</v>
      </c>
      <c r="D403" s="4">
        <f>'Data - SKU Detail'!F392</f>
        <v>10974</v>
      </c>
      <c r="E403" s="4">
        <f t="shared" si="54"/>
        <v>422.346</v>
      </c>
      <c r="F403" s="4">
        <f t="shared" si="55"/>
        <v>197.42125790690912</v>
      </c>
      <c r="G403" s="4">
        <f>'Data - SKU Detail'!G392</f>
        <v>9.3423499776870909</v>
      </c>
      <c r="H403" s="4">
        <f>'Data - SKU Detail'!H392</f>
        <v>6.0937535914181398</v>
      </c>
      <c r="I403" s="4">
        <f t="shared" si="56"/>
        <v>40.65672660370241</v>
      </c>
      <c r="J403" s="4">
        <f t="shared" si="57"/>
        <v>26.519245623246668</v>
      </c>
      <c r="K403" s="4">
        <f t="shared" si="58"/>
        <v>139.36735555715697</v>
      </c>
      <c r="L403" s="4">
        <f t="shared" si="59"/>
        <v>125.22987457670123</v>
      </c>
      <c r="M403" s="4">
        <f t="shared" si="60"/>
        <v>58861.245150143019</v>
      </c>
      <c r="N403" s="4">
        <f t="shared" si="61"/>
        <v>52890.336607971461</v>
      </c>
      <c r="O403" s="4">
        <f t="shared" si="62"/>
        <v>5970.9085421715572</v>
      </c>
    </row>
    <row r="404" spans="1:15" x14ac:dyDescent="0.25">
      <c r="A404" s="4">
        <f>'Data - SKU Detail'!A393</f>
        <v>8</v>
      </c>
      <c r="B404" s="4">
        <f>'Data - SKU Detail'!B393</f>
        <v>42</v>
      </c>
      <c r="C404" s="4">
        <f>'Data - SKU Detail'!C393</f>
        <v>704.99</v>
      </c>
      <c r="D404" s="4">
        <f>'Data - SKU Detail'!F393</f>
        <v>18154</v>
      </c>
      <c r="E404" s="4">
        <f t="shared" si="54"/>
        <v>140.99800000000002</v>
      </c>
      <c r="F404" s="4">
        <f t="shared" si="55"/>
        <v>439.46603852032973</v>
      </c>
      <c r="G404" s="4">
        <f>'Data - SKU Detail'!G393</f>
        <v>10.384319420319301</v>
      </c>
      <c r="H404" s="4">
        <f>'Data - SKU Detail'!H393</f>
        <v>7.5317583041035503</v>
      </c>
      <c r="I404" s="4">
        <f t="shared" si="56"/>
        <v>45.19124595479591</v>
      </c>
      <c r="J404" s="4">
        <f t="shared" si="57"/>
        <v>32.77726042660138</v>
      </c>
      <c r="K404" s="4">
        <f t="shared" si="58"/>
        <v>264.92426521496077</v>
      </c>
      <c r="L404" s="4">
        <f t="shared" si="59"/>
        <v>252.51027968676624</v>
      </c>
      <c r="M404" s="4">
        <f t="shared" si="60"/>
        <v>37353.791546779044</v>
      </c>
      <c r="N404" s="4">
        <f t="shared" si="61"/>
        <v>35603.444415274673</v>
      </c>
      <c r="O404" s="4">
        <f t="shared" si="62"/>
        <v>1750.3471315043716</v>
      </c>
    </row>
    <row r="405" spans="1:15" x14ac:dyDescent="0.25">
      <c r="A405" s="4">
        <f>'Data - SKU Detail'!A394</f>
        <v>8</v>
      </c>
      <c r="B405" s="4">
        <f>'Data - SKU Detail'!B394</f>
        <v>43</v>
      </c>
      <c r="C405" s="4">
        <f>'Data - SKU Detail'!C394</f>
        <v>358.9</v>
      </c>
      <c r="D405" s="4">
        <f>'Data - SKU Detail'!F394</f>
        <v>25699</v>
      </c>
      <c r="E405" s="4">
        <f t="shared" si="54"/>
        <v>71.78</v>
      </c>
      <c r="F405" s="4">
        <f t="shared" si="55"/>
        <v>732.82793276941095</v>
      </c>
      <c r="G405" s="4">
        <f>'Data - SKU Detail'!G394</f>
        <v>15.086955316954599</v>
      </c>
      <c r="H405" s="4">
        <f>'Data - SKU Detail'!H394</f>
        <v>9.4606870085145101</v>
      </c>
      <c r="I405" s="4">
        <f t="shared" si="56"/>
        <v>65.656523151957018</v>
      </c>
      <c r="J405" s="4">
        <f t="shared" si="57"/>
        <v>41.171714408798046</v>
      </c>
      <c r="K405" s="4">
        <f t="shared" si="58"/>
        <v>432.07048953666248</v>
      </c>
      <c r="L405" s="4">
        <f t="shared" si="59"/>
        <v>407.58568079350351</v>
      </c>
      <c r="M405" s="4">
        <f t="shared" si="60"/>
        <v>31014.019738941632</v>
      </c>
      <c r="N405" s="4">
        <f t="shared" si="61"/>
        <v>29256.500167357684</v>
      </c>
      <c r="O405" s="4">
        <f t="shared" si="62"/>
        <v>1757.5195715839473</v>
      </c>
    </row>
    <row r="406" spans="1:15" x14ac:dyDescent="0.25">
      <c r="A406" s="4">
        <f>'Data - SKU Detail'!A395</f>
        <v>8</v>
      </c>
      <c r="B406" s="4">
        <f>'Data - SKU Detail'!B395</f>
        <v>44</v>
      </c>
      <c r="C406" s="4">
        <f>'Data - SKU Detail'!C395</f>
        <v>908.1</v>
      </c>
      <c r="D406" s="4">
        <f>'Data - SKU Detail'!F395</f>
        <v>14581</v>
      </c>
      <c r="E406" s="4">
        <f t="shared" si="54"/>
        <v>181.62</v>
      </c>
      <c r="F406" s="4">
        <f t="shared" si="55"/>
        <v>347.02235190094535</v>
      </c>
      <c r="G406" s="4">
        <f>'Data - SKU Detail'!G395</f>
        <v>8.59749182860633</v>
      </c>
      <c r="H406" s="4">
        <f>'Data - SKU Detail'!H395</f>
        <v>5.6679961593839296</v>
      </c>
      <c r="I406" s="4">
        <f t="shared" si="56"/>
        <v>37.415198059166592</v>
      </c>
      <c r="J406" s="4">
        <f t="shared" si="57"/>
        <v>24.666403077736</v>
      </c>
      <c r="K406" s="4">
        <f t="shared" si="58"/>
        <v>210.92637400963926</v>
      </c>
      <c r="L406" s="4">
        <f t="shared" si="59"/>
        <v>198.17757902820867</v>
      </c>
      <c r="M406" s="4">
        <f t="shared" si="60"/>
        <v>38308.448047630685</v>
      </c>
      <c r="N406" s="4">
        <f t="shared" si="61"/>
        <v>35993.011903103259</v>
      </c>
      <c r="O406" s="4">
        <f t="shared" si="62"/>
        <v>2315.4361445274262</v>
      </c>
    </row>
    <row r="407" spans="1:15" x14ac:dyDescent="0.25">
      <c r="A407" s="4">
        <f>'Data - SKU Detail'!A396</f>
        <v>8</v>
      </c>
      <c r="B407" s="4">
        <f>'Data - SKU Detail'!B396</f>
        <v>45</v>
      </c>
      <c r="C407" s="4">
        <f>'Data - SKU Detail'!C396</f>
        <v>61</v>
      </c>
      <c r="D407" s="4">
        <f>'Data - SKU Detail'!F396</f>
        <v>40175</v>
      </c>
      <c r="E407" s="4">
        <f t="shared" si="54"/>
        <v>12.200000000000001</v>
      </c>
      <c r="F407" s="4">
        <f t="shared" si="55"/>
        <v>2222.5096580955205</v>
      </c>
      <c r="G407" s="4">
        <f>'Data - SKU Detail'!G396</f>
        <v>16.597768084864601</v>
      </c>
      <c r="H407" s="4">
        <f>'Data - SKU Detail'!H396</f>
        <v>11.428482633281</v>
      </c>
      <c r="I407" s="4">
        <f t="shared" si="56"/>
        <v>72.231389411624477</v>
      </c>
      <c r="J407" s="4">
        <f t="shared" si="57"/>
        <v>49.735312317158545</v>
      </c>
      <c r="K407" s="4">
        <f t="shared" si="58"/>
        <v>1183.4862184593846</v>
      </c>
      <c r="L407" s="4">
        <f t="shared" si="59"/>
        <v>1160.9901413649188</v>
      </c>
      <c r="M407" s="4">
        <f t="shared" si="60"/>
        <v>14438.531865204493</v>
      </c>
      <c r="N407" s="4">
        <f t="shared" si="61"/>
        <v>14164.079724652011</v>
      </c>
      <c r="O407" s="4">
        <f t="shared" si="62"/>
        <v>274.45214055248289</v>
      </c>
    </row>
    <row r="408" spans="1:15" x14ac:dyDescent="0.25">
      <c r="A408" s="4">
        <f>'Data - SKU Detail'!A397</f>
        <v>8</v>
      </c>
      <c r="B408" s="4">
        <f>'Data - SKU Detail'!B397</f>
        <v>46</v>
      </c>
      <c r="C408" s="4">
        <f>'Data - SKU Detail'!C397</f>
        <v>216.31</v>
      </c>
      <c r="D408" s="4">
        <f>'Data - SKU Detail'!F397</f>
        <v>29114</v>
      </c>
      <c r="E408" s="4">
        <f t="shared" si="54"/>
        <v>43.262</v>
      </c>
      <c r="F408" s="4">
        <f t="shared" si="55"/>
        <v>1004.7158923382035</v>
      </c>
      <c r="G408" s="4">
        <f>'Data - SKU Detail'!G397</f>
        <v>13.160495367508201</v>
      </c>
      <c r="H408" s="4">
        <f>'Data - SKU Detail'!H397</f>
        <v>8.7690134183911699</v>
      </c>
      <c r="I408" s="4">
        <f t="shared" si="56"/>
        <v>57.272812879414289</v>
      </c>
      <c r="J408" s="4">
        <f t="shared" si="57"/>
        <v>38.16163834444491</v>
      </c>
      <c r="K408" s="4">
        <f t="shared" si="58"/>
        <v>559.63075904851598</v>
      </c>
      <c r="L408" s="4">
        <f t="shared" si="59"/>
        <v>540.51958451354665</v>
      </c>
      <c r="M408" s="4">
        <f t="shared" si="60"/>
        <v>24210.745897956898</v>
      </c>
      <c r="N408" s="4">
        <f t="shared" si="61"/>
        <v>23383.958265225054</v>
      </c>
      <c r="O408" s="4">
        <f t="shared" si="62"/>
        <v>826.7876327318445</v>
      </c>
    </row>
    <row r="409" spans="1:15" x14ac:dyDescent="0.25">
      <c r="A409" s="4">
        <f>'Data - SKU Detail'!A398</f>
        <v>8</v>
      </c>
      <c r="B409" s="4">
        <f>'Data - SKU Detail'!B398</f>
        <v>47</v>
      </c>
      <c r="C409" s="4">
        <f>'Data - SKU Detail'!C398</f>
        <v>1940.83</v>
      </c>
      <c r="D409" s="4">
        <f>'Data - SKU Detail'!F398</f>
        <v>11035</v>
      </c>
      <c r="E409" s="4">
        <f t="shared" si="54"/>
        <v>388.166</v>
      </c>
      <c r="F409" s="4">
        <f t="shared" si="55"/>
        <v>206.50142462770879</v>
      </c>
      <c r="G409" s="4">
        <f>'Data - SKU Detail'!G398</f>
        <v>8.2841541358653501</v>
      </c>
      <c r="H409" s="4">
        <f>'Data - SKU Detail'!H398</f>
        <v>5.9477993155733202</v>
      </c>
      <c r="I409" s="4">
        <f t="shared" si="56"/>
        <v>36.051592013703619</v>
      </c>
      <c r="J409" s="4">
        <f t="shared" si="57"/>
        <v>25.884071057549942</v>
      </c>
      <c r="K409" s="4">
        <f t="shared" si="58"/>
        <v>139.30230432755801</v>
      </c>
      <c r="L409" s="4">
        <f t="shared" si="59"/>
        <v>129.13478337140432</v>
      </c>
      <c r="M409" s="4">
        <f t="shared" si="60"/>
        <v>54072.418261610881</v>
      </c>
      <c r="N409" s="4">
        <f t="shared" si="61"/>
        <v>50125.732322144533</v>
      </c>
      <c r="O409" s="4">
        <f t="shared" si="62"/>
        <v>3946.6859394663479</v>
      </c>
    </row>
    <row r="410" spans="1:15" x14ac:dyDescent="0.25">
      <c r="A410" s="4">
        <f>'Data - SKU Detail'!A399</f>
        <v>8</v>
      </c>
      <c r="B410" s="4">
        <f>'Data - SKU Detail'!B399</f>
        <v>48</v>
      </c>
      <c r="C410" s="4">
        <f>'Data - SKU Detail'!C399</f>
        <v>329.86</v>
      </c>
      <c r="D410" s="4">
        <f>'Data - SKU Detail'!F399</f>
        <v>25810</v>
      </c>
      <c r="E410" s="4">
        <f t="shared" si="54"/>
        <v>65.972000000000008</v>
      </c>
      <c r="F410" s="4">
        <f t="shared" si="55"/>
        <v>766.05474442798118</v>
      </c>
      <c r="G410" s="4">
        <f>'Data - SKU Detail'!G399</f>
        <v>14.2841781304992</v>
      </c>
      <c r="H410" s="4">
        <f>'Data - SKU Detail'!H399</f>
        <v>9.3709544586539604</v>
      </c>
      <c r="I410" s="4">
        <f t="shared" si="56"/>
        <v>62.162938275415392</v>
      </c>
      <c r="J410" s="4">
        <f t="shared" si="57"/>
        <v>40.781209690408474</v>
      </c>
      <c r="K410" s="4">
        <f t="shared" si="58"/>
        <v>445.19031048940599</v>
      </c>
      <c r="L410" s="4">
        <f t="shared" si="59"/>
        <v>423.80858190439903</v>
      </c>
      <c r="M410" s="4">
        <f t="shared" si="60"/>
        <v>29370.095163607097</v>
      </c>
      <c r="N410" s="4">
        <f t="shared" si="61"/>
        <v>27959.499765397017</v>
      </c>
      <c r="O410" s="4">
        <f t="shared" si="62"/>
        <v>1410.59539821008</v>
      </c>
    </row>
    <row r="411" spans="1:15" x14ac:dyDescent="0.25">
      <c r="A411" s="4">
        <f>'Data - SKU Detail'!A400</f>
        <v>8</v>
      </c>
      <c r="B411" s="4">
        <f>'Data - SKU Detail'!B400</f>
        <v>49</v>
      </c>
      <c r="C411" s="4">
        <f>'Data - SKU Detail'!C400</f>
        <v>988.06</v>
      </c>
      <c r="D411" s="4">
        <f>'Data - SKU Detail'!F400</f>
        <v>14624</v>
      </c>
      <c r="E411" s="4">
        <f t="shared" si="54"/>
        <v>197.61199999999999</v>
      </c>
      <c r="F411" s="4">
        <f t="shared" si="55"/>
        <v>333.17473573200186</v>
      </c>
      <c r="G411" s="4">
        <f>'Data - SKU Detail'!G400</f>
        <v>9.8154677215814097</v>
      </c>
      <c r="H411" s="4">
        <f>'Data - SKU Detail'!H400</f>
        <v>6.4184444105499097</v>
      </c>
      <c r="I411" s="4">
        <f t="shared" si="56"/>
        <v>42.715675241980037</v>
      </c>
      <c r="J411" s="4">
        <f t="shared" si="57"/>
        <v>27.932259040181489</v>
      </c>
      <c r="K411" s="4">
        <f t="shared" si="58"/>
        <v>209.30304310798095</v>
      </c>
      <c r="L411" s="4">
        <f t="shared" si="59"/>
        <v>194.51962690618242</v>
      </c>
      <c r="M411" s="4">
        <f t="shared" si="60"/>
        <v>41360.792954654331</v>
      </c>
      <c r="N411" s="4">
        <f t="shared" si="61"/>
        <v>38439.412512184521</v>
      </c>
      <c r="O411" s="4">
        <f t="shared" si="62"/>
        <v>2921.3804424698101</v>
      </c>
    </row>
    <row r="412" spans="1:15" x14ac:dyDescent="0.25">
      <c r="A412" s="4">
        <f>'Data - SKU Detail'!A401</f>
        <v>8</v>
      </c>
      <c r="B412" s="4">
        <f>'Data - SKU Detail'!B401</f>
        <v>50</v>
      </c>
      <c r="C412" s="4">
        <f>'Data - SKU Detail'!C401</f>
        <v>154.34</v>
      </c>
      <c r="D412" s="4">
        <f>'Data - SKU Detail'!F401</f>
        <v>32882</v>
      </c>
      <c r="E412" s="4">
        <f t="shared" si="54"/>
        <v>30.868000000000002</v>
      </c>
      <c r="F412" s="4">
        <f t="shared" si="55"/>
        <v>1264.0681716664608</v>
      </c>
      <c r="G412" s="4">
        <f>'Data - SKU Detail'!G401</f>
        <v>14.2301193663679</v>
      </c>
      <c r="H412" s="4">
        <f>'Data - SKU Detail'!H401</f>
        <v>9.2744635246723792</v>
      </c>
      <c r="I412" s="4">
        <f t="shared" si="56"/>
        <v>61.927681364780533</v>
      </c>
      <c r="J412" s="4">
        <f t="shared" si="57"/>
        <v>40.361293338313487</v>
      </c>
      <c r="K412" s="4">
        <f t="shared" si="58"/>
        <v>693.96176719801088</v>
      </c>
      <c r="L412" s="4">
        <f t="shared" si="59"/>
        <v>672.39537917154394</v>
      </c>
      <c r="M412" s="4">
        <f t="shared" si="60"/>
        <v>21421.2118298682</v>
      </c>
      <c r="N412" s="4">
        <f t="shared" si="61"/>
        <v>20755.500564267219</v>
      </c>
      <c r="O412" s="4">
        <f t="shared" si="62"/>
        <v>665.71126560098128</v>
      </c>
    </row>
    <row r="413" spans="1:15" x14ac:dyDescent="0.25">
      <c r="A413" s="4">
        <f>'Data - SKU Detail'!A402</f>
        <v>9</v>
      </c>
      <c r="B413" s="4">
        <f>'Data - SKU Detail'!B402</f>
        <v>1</v>
      </c>
      <c r="C413" s="4">
        <f>'Data - SKU Detail'!C402</f>
        <v>2297.6799999999998</v>
      </c>
      <c r="D413" s="4">
        <f>'Data - SKU Detail'!F402</f>
        <v>9551</v>
      </c>
      <c r="E413" s="4">
        <f t="shared" si="54"/>
        <v>459.536</v>
      </c>
      <c r="F413" s="4">
        <f t="shared" si="55"/>
        <v>176.56730253780322</v>
      </c>
      <c r="G413" s="4">
        <f>'Data - SKU Detail'!G402</f>
        <v>6.8072921188531303</v>
      </c>
      <c r="H413" s="4">
        <f>'Data - SKU Detail'!H402</f>
        <v>4.6414311819730401</v>
      </c>
      <c r="I413" s="4">
        <f t="shared" si="56"/>
        <v>29.624475131926982</v>
      </c>
      <c r="J413" s="4">
        <f t="shared" si="57"/>
        <v>20.198922012777722</v>
      </c>
      <c r="K413" s="4">
        <f t="shared" si="58"/>
        <v>117.90812640082859</v>
      </c>
      <c r="L413" s="4">
        <f t="shared" si="59"/>
        <v>108.48257328167932</v>
      </c>
      <c r="M413" s="4">
        <f t="shared" si="60"/>
        <v>54183.028773731166</v>
      </c>
      <c r="N413" s="4">
        <f t="shared" si="61"/>
        <v>49851.647795569792</v>
      </c>
      <c r="O413" s="4">
        <f t="shared" si="62"/>
        <v>4331.3809781613745</v>
      </c>
    </row>
    <row r="414" spans="1:15" x14ac:dyDescent="0.25">
      <c r="A414" s="4">
        <f>'Data - SKU Detail'!A403</f>
        <v>9</v>
      </c>
      <c r="B414" s="4">
        <f>'Data - SKU Detail'!B403</f>
        <v>2</v>
      </c>
      <c r="C414" s="4">
        <f>'Data - SKU Detail'!C403</f>
        <v>235.35</v>
      </c>
      <c r="D414" s="4">
        <f>'Data - SKU Detail'!F403</f>
        <v>25041</v>
      </c>
      <c r="E414" s="4">
        <f t="shared" si="54"/>
        <v>47.07</v>
      </c>
      <c r="F414" s="4">
        <f t="shared" si="55"/>
        <v>893.30417653587824</v>
      </c>
      <c r="G414" s="4">
        <f>'Data - SKU Detail'!G403</f>
        <v>12.682702065294199</v>
      </c>
      <c r="H414" s="4">
        <f>'Data - SKU Detail'!H403</f>
        <v>8.18656092255614</v>
      </c>
      <c r="I414" s="4">
        <f t="shared" si="56"/>
        <v>55.193516802132883</v>
      </c>
      <c r="J414" s="4">
        <f t="shared" si="57"/>
        <v>35.626878681258795</v>
      </c>
      <c r="K414" s="4">
        <f t="shared" si="58"/>
        <v>501.845605070072</v>
      </c>
      <c r="L414" s="4">
        <f t="shared" si="59"/>
        <v>482.27896694919792</v>
      </c>
      <c r="M414" s="4">
        <f t="shared" si="60"/>
        <v>23621.872630648289</v>
      </c>
      <c r="N414" s="4">
        <f t="shared" si="61"/>
        <v>22700.870974298745</v>
      </c>
      <c r="O414" s="4">
        <f t="shared" si="62"/>
        <v>921.00165634954465</v>
      </c>
    </row>
    <row r="415" spans="1:15" x14ac:dyDescent="0.25">
      <c r="A415" s="4">
        <f>'Data - SKU Detail'!A404</f>
        <v>9</v>
      </c>
      <c r="B415" s="4">
        <f>'Data - SKU Detail'!B404</f>
        <v>3</v>
      </c>
      <c r="C415" s="4">
        <f>'Data - SKU Detail'!C404</f>
        <v>767.06</v>
      </c>
      <c r="D415" s="4">
        <f>'Data - SKU Detail'!F404</f>
        <v>15403</v>
      </c>
      <c r="E415" s="4">
        <f t="shared" si="54"/>
        <v>153.41200000000001</v>
      </c>
      <c r="F415" s="4">
        <f t="shared" si="55"/>
        <v>388.0776406960307</v>
      </c>
      <c r="G415" s="4">
        <f>'Data - SKU Detail'!G404</f>
        <v>8.3203306744534107</v>
      </c>
      <c r="H415" s="4">
        <f>'Data - SKU Detail'!H404</f>
        <v>6.0904459448370298</v>
      </c>
      <c r="I415" s="4">
        <f t="shared" si="56"/>
        <v>36.209027738372029</v>
      </c>
      <c r="J415" s="4">
        <f t="shared" si="57"/>
        <v>26.504851163279849</v>
      </c>
      <c r="K415" s="4">
        <f t="shared" si="58"/>
        <v>230.24784808638736</v>
      </c>
      <c r="L415" s="4">
        <f t="shared" si="59"/>
        <v>220.5436715112952</v>
      </c>
      <c r="M415" s="4">
        <f t="shared" si="60"/>
        <v>35322.782870628856</v>
      </c>
      <c r="N415" s="4">
        <f t="shared" si="61"/>
        <v>33834.045733890824</v>
      </c>
      <c r="O415" s="4">
        <f t="shared" si="62"/>
        <v>1488.7371367380329</v>
      </c>
    </row>
    <row r="416" spans="1:15" x14ac:dyDescent="0.25">
      <c r="A416" s="4">
        <f>'Data - SKU Detail'!A405</f>
        <v>9</v>
      </c>
      <c r="B416" s="4">
        <f>'Data - SKU Detail'!B405</f>
        <v>4</v>
      </c>
      <c r="C416" s="4">
        <f>'Data - SKU Detail'!C405</f>
        <v>1783.76</v>
      </c>
      <c r="D416" s="4">
        <f>'Data - SKU Detail'!F405</f>
        <v>9304</v>
      </c>
      <c r="E416" s="4">
        <f t="shared" si="54"/>
        <v>356.75200000000001</v>
      </c>
      <c r="F416" s="4">
        <f t="shared" si="55"/>
        <v>197.7867854633476</v>
      </c>
      <c r="G416" s="4">
        <f>'Data - SKU Detail'!G405</f>
        <v>7.8897987926217397</v>
      </c>
      <c r="H416" s="4">
        <f>'Data - SKU Detail'!H405</f>
        <v>5.5992555444319603</v>
      </c>
      <c r="I416" s="4">
        <f t="shared" si="56"/>
        <v>34.335407390642217</v>
      </c>
      <c r="J416" s="4">
        <f t="shared" si="57"/>
        <v>24.36725260752802</v>
      </c>
      <c r="K416" s="4">
        <f t="shared" si="58"/>
        <v>133.22880012231602</v>
      </c>
      <c r="L416" s="4">
        <f t="shared" si="59"/>
        <v>123.26064533920182</v>
      </c>
      <c r="M416" s="4">
        <f t="shared" si="60"/>
        <v>47529.640901236482</v>
      </c>
      <c r="N416" s="4">
        <f t="shared" si="61"/>
        <v>43973.481746050929</v>
      </c>
      <c r="O416" s="4">
        <f t="shared" si="62"/>
        <v>3556.1591551855527</v>
      </c>
    </row>
    <row r="417" spans="1:15" x14ac:dyDescent="0.25">
      <c r="A417" s="4">
        <f>'Data - SKU Detail'!A406</f>
        <v>9</v>
      </c>
      <c r="B417" s="4">
        <f>'Data - SKU Detail'!B406</f>
        <v>5</v>
      </c>
      <c r="C417" s="4">
        <f>'Data - SKU Detail'!C406</f>
        <v>2500</v>
      </c>
      <c r="D417" s="4">
        <f>'Data - SKU Detail'!F406</f>
        <v>7837</v>
      </c>
      <c r="E417" s="4">
        <f t="shared" si="54"/>
        <v>500</v>
      </c>
      <c r="F417" s="4">
        <f t="shared" si="55"/>
        <v>153.33297101406467</v>
      </c>
      <c r="G417" s="4">
        <f>'Data - SKU Detail'!G406</f>
        <v>6.2237600150005097</v>
      </c>
      <c r="H417" s="4">
        <f>'Data - SKU Detail'!H406</f>
        <v>4.3427402353135003</v>
      </c>
      <c r="I417" s="4">
        <f t="shared" si="56"/>
        <v>27.085017151067568</v>
      </c>
      <c r="J417" s="4">
        <f t="shared" si="57"/>
        <v>18.899056755498584</v>
      </c>
      <c r="K417" s="4">
        <f t="shared" si="58"/>
        <v>103.75150265809989</v>
      </c>
      <c r="L417" s="4">
        <f t="shared" si="59"/>
        <v>95.565542262530926</v>
      </c>
      <c r="M417" s="4">
        <f t="shared" si="60"/>
        <v>51875.751329049948</v>
      </c>
      <c r="N417" s="4">
        <f t="shared" si="61"/>
        <v>47782.771131265465</v>
      </c>
      <c r="O417" s="4">
        <f t="shared" si="62"/>
        <v>4092.9801977844836</v>
      </c>
    </row>
    <row r="418" spans="1:15" x14ac:dyDescent="0.25">
      <c r="A418" s="4">
        <f>'Data - SKU Detail'!A407</f>
        <v>9</v>
      </c>
      <c r="B418" s="4">
        <f>'Data - SKU Detail'!B407</f>
        <v>6</v>
      </c>
      <c r="C418" s="4">
        <f>'Data - SKU Detail'!C407</f>
        <v>278.63</v>
      </c>
      <c r="D418" s="4">
        <f>'Data - SKU Detail'!F407</f>
        <v>24915</v>
      </c>
      <c r="E418" s="4">
        <f t="shared" si="54"/>
        <v>55.725999999999999</v>
      </c>
      <c r="F418" s="4">
        <f t="shared" si="55"/>
        <v>818.93067692712395</v>
      </c>
      <c r="G418" s="4">
        <f>'Data - SKU Detail'!G407</f>
        <v>11.5688594648206</v>
      </c>
      <c r="H418" s="4">
        <f>'Data - SKU Detail'!H407</f>
        <v>7.8935800726845899</v>
      </c>
      <c r="I418" s="4">
        <f t="shared" si="56"/>
        <v>50.346214550004724</v>
      </c>
      <c r="J418" s="4">
        <f t="shared" si="57"/>
        <v>34.351863043673248</v>
      </c>
      <c r="K418" s="4">
        <f t="shared" si="58"/>
        <v>459.81155301356671</v>
      </c>
      <c r="L418" s="4">
        <f t="shared" si="59"/>
        <v>443.81720150723521</v>
      </c>
      <c r="M418" s="4">
        <f t="shared" si="60"/>
        <v>25623.458603234019</v>
      </c>
      <c r="N418" s="4">
        <f t="shared" si="61"/>
        <v>24732.157371192188</v>
      </c>
      <c r="O418" s="4">
        <f t="shared" si="62"/>
        <v>891.3012320418311</v>
      </c>
    </row>
    <row r="419" spans="1:15" x14ac:dyDescent="0.25">
      <c r="A419" s="4">
        <f>'Data - SKU Detail'!A408</f>
        <v>9</v>
      </c>
      <c r="B419" s="4">
        <f>'Data - SKU Detail'!B408</f>
        <v>7</v>
      </c>
      <c r="C419" s="4">
        <f>'Data - SKU Detail'!C408</f>
        <v>256.08</v>
      </c>
      <c r="D419" s="4">
        <f>'Data - SKU Detail'!F408</f>
        <v>25079</v>
      </c>
      <c r="E419" s="4">
        <f t="shared" si="54"/>
        <v>51.216000000000001</v>
      </c>
      <c r="F419" s="4">
        <f t="shared" si="55"/>
        <v>857.0337185616678</v>
      </c>
      <c r="G419" s="4">
        <f>'Data - SKU Detail'!G408</f>
        <v>12.972549024351499</v>
      </c>
      <c r="H419" s="4">
        <f>'Data - SKU Detail'!H408</f>
        <v>8.8860974303880198</v>
      </c>
      <c r="I419" s="4">
        <f t="shared" si="56"/>
        <v>56.454894142893203</v>
      </c>
      <c r="J419" s="4">
        <f t="shared" si="57"/>
        <v>38.671173169921339</v>
      </c>
      <c r="K419" s="4">
        <f t="shared" si="58"/>
        <v>484.97175342372708</v>
      </c>
      <c r="L419" s="4">
        <f t="shared" si="59"/>
        <v>467.18803245075526</v>
      </c>
      <c r="M419" s="4">
        <f t="shared" si="60"/>
        <v>24838.313323349608</v>
      </c>
      <c r="N419" s="4">
        <f t="shared" si="61"/>
        <v>23927.502269997884</v>
      </c>
      <c r="O419" s="4">
        <f t="shared" si="62"/>
        <v>910.81105335172469</v>
      </c>
    </row>
    <row r="420" spans="1:15" x14ac:dyDescent="0.25">
      <c r="A420" s="4">
        <f>'Data - SKU Detail'!A409</f>
        <v>9</v>
      </c>
      <c r="B420" s="4">
        <f>'Data - SKU Detail'!B409</f>
        <v>8</v>
      </c>
      <c r="C420" s="4">
        <f>'Data - SKU Detail'!C409</f>
        <v>85.49</v>
      </c>
      <c r="D420" s="4">
        <f>'Data - SKU Detail'!F409</f>
        <v>32977</v>
      </c>
      <c r="E420" s="4">
        <f t="shared" si="54"/>
        <v>17.097999999999999</v>
      </c>
      <c r="F420" s="4">
        <f t="shared" si="55"/>
        <v>1700.8990762427552</v>
      </c>
      <c r="G420" s="4">
        <f>'Data - SKU Detail'!G409</f>
        <v>15.758767344190099</v>
      </c>
      <c r="H420" s="4">
        <f>'Data - SKU Detail'!H409</f>
        <v>9.6174312360777705</v>
      </c>
      <c r="I420" s="4">
        <f t="shared" si="56"/>
        <v>68.580164204329037</v>
      </c>
      <c r="J420" s="4">
        <f t="shared" si="57"/>
        <v>41.8538454809553</v>
      </c>
      <c r="K420" s="4">
        <f t="shared" si="58"/>
        <v>919.02970232570669</v>
      </c>
      <c r="L420" s="4">
        <f t="shared" si="59"/>
        <v>892.30338360233293</v>
      </c>
      <c r="M420" s="4">
        <f t="shared" si="60"/>
        <v>15713.569850364933</v>
      </c>
      <c r="N420" s="4">
        <f t="shared" si="61"/>
        <v>15256.603252832687</v>
      </c>
      <c r="O420" s="4">
        <f t="shared" si="62"/>
        <v>456.96659753224594</v>
      </c>
    </row>
    <row r="421" spans="1:15" x14ac:dyDescent="0.25">
      <c r="A421" s="4">
        <f>'Data - SKU Detail'!A410</f>
        <v>9</v>
      </c>
      <c r="B421" s="4">
        <f>'Data - SKU Detail'!B410</f>
        <v>9</v>
      </c>
      <c r="C421" s="4">
        <f>'Data - SKU Detail'!C410</f>
        <v>303.16000000000003</v>
      </c>
      <c r="D421" s="4">
        <f>'Data - SKU Detail'!F410</f>
        <v>22041</v>
      </c>
      <c r="E421" s="4">
        <f t="shared" si="54"/>
        <v>60.632000000000005</v>
      </c>
      <c r="F421" s="4">
        <f t="shared" si="55"/>
        <v>738.43169594338406</v>
      </c>
      <c r="G421" s="4">
        <f>'Data - SKU Detail'!G410</f>
        <v>12.104197050603901</v>
      </c>
      <c r="H421" s="4">
        <f>'Data - SKU Detail'!H410</f>
        <v>8.3355455373671301</v>
      </c>
      <c r="I421" s="4">
        <f t="shared" si="56"/>
        <v>52.67593607808498</v>
      </c>
      <c r="J421" s="4">
        <f t="shared" si="57"/>
        <v>36.275240899222709</v>
      </c>
      <c r="K421" s="4">
        <f t="shared" si="58"/>
        <v>421.89178404977702</v>
      </c>
      <c r="L421" s="4">
        <f t="shared" si="59"/>
        <v>405.49108887091472</v>
      </c>
      <c r="M421" s="4">
        <f t="shared" si="60"/>
        <v>25580.142650506081</v>
      </c>
      <c r="N421" s="4">
        <f t="shared" si="61"/>
        <v>24585.735700421305</v>
      </c>
      <c r="O421" s="4">
        <f t="shared" si="62"/>
        <v>994.40695008477633</v>
      </c>
    </row>
    <row r="422" spans="1:15" x14ac:dyDescent="0.25">
      <c r="A422" s="4">
        <f>'Data - SKU Detail'!A411</f>
        <v>9</v>
      </c>
      <c r="B422" s="4">
        <f>'Data - SKU Detail'!B411</f>
        <v>10</v>
      </c>
      <c r="C422" s="4">
        <f>'Data - SKU Detail'!C411</f>
        <v>93.02</v>
      </c>
      <c r="D422" s="4">
        <f>'Data - SKU Detail'!F411</f>
        <v>31742</v>
      </c>
      <c r="E422" s="4">
        <f t="shared" si="54"/>
        <v>18.603999999999999</v>
      </c>
      <c r="F422" s="4">
        <f t="shared" si="55"/>
        <v>1599.777586132328</v>
      </c>
      <c r="G422" s="4">
        <f>'Data - SKU Detail'!G411</f>
        <v>15.924151321741601</v>
      </c>
      <c r="H422" s="4">
        <f>'Data - SKU Detail'!H411</f>
        <v>9.8563389647169295</v>
      </c>
      <c r="I422" s="4">
        <f t="shared" si="56"/>
        <v>69.299894376716452</v>
      </c>
      <c r="J422" s="4">
        <f t="shared" si="57"/>
        <v>42.893541727616203</v>
      </c>
      <c r="K422" s="4">
        <f t="shared" si="58"/>
        <v>869.18868744288045</v>
      </c>
      <c r="L422" s="4">
        <f t="shared" si="59"/>
        <v>842.78233479378025</v>
      </c>
      <c r="M422" s="4">
        <f t="shared" si="60"/>
        <v>16170.386341187348</v>
      </c>
      <c r="N422" s="4">
        <f t="shared" si="61"/>
        <v>15679.122556503487</v>
      </c>
      <c r="O422" s="4">
        <f t="shared" si="62"/>
        <v>491.26378468386065</v>
      </c>
    </row>
    <row r="423" spans="1:15" x14ac:dyDescent="0.25">
      <c r="A423" s="4">
        <f>'Data - SKU Detail'!A412</f>
        <v>9</v>
      </c>
      <c r="B423" s="4">
        <f>'Data - SKU Detail'!B412</f>
        <v>11</v>
      </c>
      <c r="C423" s="4">
        <f>'Data - SKU Detail'!C412</f>
        <v>101.21</v>
      </c>
      <c r="D423" s="4">
        <f>'Data - SKU Detail'!F412</f>
        <v>29870</v>
      </c>
      <c r="E423" s="4">
        <f t="shared" si="54"/>
        <v>20.242000000000001</v>
      </c>
      <c r="F423" s="4">
        <f t="shared" si="55"/>
        <v>1487.7725124193555</v>
      </c>
      <c r="G423" s="4">
        <f>'Data - SKU Detail'!G412</f>
        <v>13.2923502171463</v>
      </c>
      <c r="H423" s="4">
        <f>'Data - SKU Detail'!H412</f>
        <v>9.0392658402299695</v>
      </c>
      <c r="I423" s="4">
        <f t="shared" si="56"/>
        <v>57.846628523862641</v>
      </c>
      <c r="J423" s="4">
        <f t="shared" si="57"/>
        <v>39.337742735195718</v>
      </c>
      <c r="K423" s="4">
        <f t="shared" si="58"/>
        <v>801.73288473354035</v>
      </c>
      <c r="L423" s="4">
        <f t="shared" si="59"/>
        <v>783.22399894487353</v>
      </c>
      <c r="M423" s="4">
        <f t="shared" si="60"/>
        <v>16228.677052776324</v>
      </c>
      <c r="N423" s="4">
        <f t="shared" si="61"/>
        <v>15854.02018664213</v>
      </c>
      <c r="O423" s="4">
        <f t="shared" si="62"/>
        <v>374.65686613419348</v>
      </c>
    </row>
    <row r="424" spans="1:15" x14ac:dyDescent="0.25">
      <c r="A424" s="4">
        <f>'Data - SKU Detail'!A413</f>
        <v>9</v>
      </c>
      <c r="B424" s="4">
        <f>'Data - SKU Detail'!B413</f>
        <v>12</v>
      </c>
      <c r="C424" s="4">
        <f>'Data - SKU Detail'!C413</f>
        <v>110.12</v>
      </c>
      <c r="D424" s="4">
        <f>'Data - SKU Detail'!F413</f>
        <v>29961</v>
      </c>
      <c r="E424" s="4">
        <f t="shared" si="54"/>
        <v>22.024000000000001</v>
      </c>
      <c r="F424" s="4">
        <f t="shared" si="55"/>
        <v>1428.4849942717026</v>
      </c>
      <c r="G424" s="4">
        <f>'Data - SKU Detail'!G413</f>
        <v>14.9515981309642</v>
      </c>
      <c r="H424" s="4">
        <f>'Data - SKU Detail'!H413</f>
        <v>10.1108093805747</v>
      </c>
      <c r="I424" s="4">
        <f t="shared" si="56"/>
        <v>65.067465782258623</v>
      </c>
      <c r="J424" s="4">
        <f t="shared" si="57"/>
        <v>44.000964822551595</v>
      </c>
      <c r="K424" s="4">
        <f t="shared" si="58"/>
        <v>779.30996291810993</v>
      </c>
      <c r="L424" s="4">
        <f t="shared" si="59"/>
        <v>758.24346195840292</v>
      </c>
      <c r="M424" s="4">
        <f t="shared" si="60"/>
        <v>17163.522623308454</v>
      </c>
      <c r="N424" s="4">
        <f t="shared" si="61"/>
        <v>16699.554006171868</v>
      </c>
      <c r="O424" s="4">
        <f t="shared" si="62"/>
        <v>463.96861713658654</v>
      </c>
    </row>
    <row r="425" spans="1:15" x14ac:dyDescent="0.25">
      <c r="A425" s="4">
        <f>'Data - SKU Detail'!A414</f>
        <v>9</v>
      </c>
      <c r="B425" s="4">
        <f>'Data - SKU Detail'!B414</f>
        <v>13</v>
      </c>
      <c r="C425" s="4">
        <f>'Data - SKU Detail'!C414</f>
        <v>47.35</v>
      </c>
      <c r="D425" s="4">
        <f>'Data - SKU Detail'!F414</f>
        <v>36338</v>
      </c>
      <c r="E425" s="4">
        <f t="shared" si="54"/>
        <v>9.4700000000000006</v>
      </c>
      <c r="F425" s="4">
        <f t="shared" si="55"/>
        <v>2399.1154652995533</v>
      </c>
      <c r="G425" s="4">
        <f>'Data - SKU Detail'!G414</f>
        <v>17.331025043234199</v>
      </c>
      <c r="H425" s="4">
        <f>'Data - SKU Detail'!H414</f>
        <v>9.8019809735978907</v>
      </c>
      <c r="I425" s="4">
        <f t="shared" si="56"/>
        <v>75.42243104011159</v>
      </c>
      <c r="J425" s="4">
        <f t="shared" si="57"/>
        <v>42.656982618941022</v>
      </c>
      <c r="K425" s="4">
        <f t="shared" si="58"/>
        <v>1274.9801636898883</v>
      </c>
      <c r="L425" s="4">
        <f t="shared" si="59"/>
        <v>1242.2147152687178</v>
      </c>
      <c r="M425" s="4">
        <f t="shared" si="60"/>
        <v>12074.062150143243</v>
      </c>
      <c r="N425" s="4">
        <f t="shared" si="61"/>
        <v>11763.773353594759</v>
      </c>
      <c r="O425" s="4">
        <f t="shared" si="62"/>
        <v>310.28879654848424</v>
      </c>
    </row>
    <row r="426" spans="1:15" x14ac:dyDescent="0.25">
      <c r="A426" s="4">
        <f>'Data - SKU Detail'!A415</f>
        <v>9</v>
      </c>
      <c r="B426" s="4">
        <f>'Data - SKU Detail'!B415</f>
        <v>14</v>
      </c>
      <c r="C426" s="4">
        <f>'Data - SKU Detail'!C415</f>
        <v>182.71</v>
      </c>
      <c r="D426" s="4">
        <f>'Data - SKU Detail'!F415</f>
        <v>25040</v>
      </c>
      <c r="E426" s="4">
        <f t="shared" si="54"/>
        <v>36.542000000000002</v>
      </c>
      <c r="F426" s="4">
        <f t="shared" si="55"/>
        <v>1013.8334945985232</v>
      </c>
      <c r="G426" s="4">
        <f>'Data - SKU Detail'!G415</f>
        <v>12.5352060353543</v>
      </c>
      <c r="H426" s="4">
        <f>'Data - SKU Detail'!H415</f>
        <v>7.9200188851842901</v>
      </c>
      <c r="I426" s="4">
        <f t="shared" si="56"/>
        <v>54.551632717430394</v>
      </c>
      <c r="J426" s="4">
        <f t="shared" si="57"/>
        <v>34.466921414864025</v>
      </c>
      <c r="K426" s="4">
        <f t="shared" si="58"/>
        <v>561.46838001669198</v>
      </c>
      <c r="L426" s="4">
        <f t="shared" si="59"/>
        <v>541.38366871412563</v>
      </c>
      <c r="M426" s="4">
        <f t="shared" si="60"/>
        <v>20517.17754256996</v>
      </c>
      <c r="N426" s="4">
        <f t="shared" si="61"/>
        <v>19783.242022151579</v>
      </c>
      <c r="O426" s="4">
        <f t="shared" si="62"/>
        <v>733.9355204183812</v>
      </c>
    </row>
    <row r="427" spans="1:15" x14ac:dyDescent="0.25">
      <c r="A427" s="4">
        <f>'Data - SKU Detail'!A416</f>
        <v>9</v>
      </c>
      <c r="B427" s="4">
        <f>'Data - SKU Detail'!B416</f>
        <v>15</v>
      </c>
      <c r="C427" s="4">
        <f>'Data - SKU Detail'!C416</f>
        <v>40</v>
      </c>
      <c r="D427" s="4">
        <f>'Data - SKU Detail'!F416</f>
        <v>37936</v>
      </c>
      <c r="E427" s="4">
        <f t="shared" si="54"/>
        <v>8</v>
      </c>
      <c r="F427" s="4">
        <f t="shared" si="55"/>
        <v>2667.0208098175763</v>
      </c>
      <c r="G427" s="4">
        <f>'Data - SKU Detail'!G416</f>
        <v>15.989586165468801</v>
      </c>
      <c r="H427" s="4">
        <f>'Data - SKU Detail'!H416</f>
        <v>10.452227626933199</v>
      </c>
      <c r="I427" s="4">
        <f t="shared" si="56"/>
        <v>69.584658548271435</v>
      </c>
      <c r="J427" s="4">
        <f t="shared" si="57"/>
        <v>45.486773889099695</v>
      </c>
      <c r="K427" s="4">
        <f t="shared" si="58"/>
        <v>1403.0950634570595</v>
      </c>
      <c r="L427" s="4">
        <f t="shared" si="59"/>
        <v>1378.9971787978877</v>
      </c>
      <c r="M427" s="4">
        <f t="shared" si="60"/>
        <v>11224.760507656476</v>
      </c>
      <c r="N427" s="4">
        <f t="shared" si="61"/>
        <v>11031.977430383102</v>
      </c>
      <c r="O427" s="4">
        <f t="shared" si="62"/>
        <v>192.78307727337415</v>
      </c>
    </row>
    <row r="428" spans="1:15" x14ac:dyDescent="0.25">
      <c r="A428" s="4">
        <f>'Data - SKU Detail'!A417</f>
        <v>9</v>
      </c>
      <c r="B428" s="4">
        <f>'Data - SKU Detail'!B417</f>
        <v>16</v>
      </c>
      <c r="C428" s="4">
        <f>'Data - SKU Detail'!C417</f>
        <v>1506.73</v>
      </c>
      <c r="D428" s="4">
        <f>'Data - SKU Detail'!F417</f>
        <v>11063</v>
      </c>
      <c r="E428" s="4">
        <f t="shared" si="54"/>
        <v>301.346</v>
      </c>
      <c r="F428" s="4">
        <f t="shared" si="55"/>
        <v>234.66556747960513</v>
      </c>
      <c r="G428" s="4">
        <f>'Data - SKU Detail'!G417</f>
        <v>8.2259872199604498</v>
      </c>
      <c r="H428" s="4">
        <f>'Data - SKU Detail'!H417</f>
        <v>5.5020797746324703</v>
      </c>
      <c r="I428" s="4">
        <f t="shared" si="56"/>
        <v>35.798456945656049</v>
      </c>
      <c r="J428" s="4">
        <f t="shared" si="57"/>
        <v>23.944355936489337</v>
      </c>
      <c r="K428" s="4">
        <f t="shared" si="58"/>
        <v>153.13124068545861</v>
      </c>
      <c r="L428" s="4">
        <f t="shared" si="59"/>
        <v>141.27713967629191</v>
      </c>
      <c r="M428" s="4">
        <f t="shared" si="60"/>
        <v>46145.486855600211</v>
      </c>
      <c r="N428" s="4">
        <f t="shared" si="61"/>
        <v>42573.300932891863</v>
      </c>
      <c r="O428" s="4">
        <f t="shared" si="62"/>
        <v>3572.1859227083478</v>
      </c>
    </row>
    <row r="429" spans="1:15" x14ac:dyDescent="0.25">
      <c r="A429" s="4">
        <f>'Data - SKU Detail'!A418</f>
        <v>9</v>
      </c>
      <c r="B429" s="4">
        <f>'Data - SKU Detail'!B418</f>
        <v>17</v>
      </c>
      <c r="C429" s="4">
        <f>'Data - SKU Detail'!C418</f>
        <v>834.61</v>
      </c>
      <c r="D429" s="4">
        <f>'Data - SKU Detail'!F418</f>
        <v>14327</v>
      </c>
      <c r="E429" s="4">
        <f t="shared" si="54"/>
        <v>166.92200000000003</v>
      </c>
      <c r="F429" s="4">
        <f t="shared" si="55"/>
        <v>358.81159609660347</v>
      </c>
      <c r="G429" s="4">
        <f>'Data - SKU Detail'!G418</f>
        <v>11.321027836960599</v>
      </c>
      <c r="H429" s="4">
        <f>'Data - SKU Detail'!H418</f>
        <v>7.31934407494954</v>
      </c>
      <c r="I429" s="4">
        <f t="shared" si="56"/>
        <v>49.267682621558485</v>
      </c>
      <c r="J429" s="4">
        <f t="shared" si="57"/>
        <v>31.852860541981684</v>
      </c>
      <c r="K429" s="4">
        <f t="shared" si="58"/>
        <v>228.67348066986023</v>
      </c>
      <c r="L429" s="4">
        <f t="shared" si="59"/>
        <v>211.2586585902834</v>
      </c>
      <c r="M429" s="4">
        <f t="shared" si="60"/>
        <v>38170.634740374415</v>
      </c>
      <c r="N429" s="4">
        <f t="shared" si="61"/>
        <v>35263.717809207294</v>
      </c>
      <c r="O429" s="4">
        <f t="shared" si="62"/>
        <v>2906.9169311671212</v>
      </c>
    </row>
    <row r="430" spans="1:15" x14ac:dyDescent="0.25">
      <c r="A430" s="4">
        <f>'Data - SKU Detail'!A419</f>
        <v>9</v>
      </c>
      <c r="B430" s="4">
        <f>'Data - SKU Detail'!B419</f>
        <v>18</v>
      </c>
      <c r="C430" s="4">
        <f>'Data - SKU Detail'!C419</f>
        <v>51.52</v>
      </c>
      <c r="D430" s="4">
        <f>'Data - SKU Detail'!F419</f>
        <v>36062</v>
      </c>
      <c r="E430" s="4">
        <f t="shared" si="54"/>
        <v>10.304000000000002</v>
      </c>
      <c r="F430" s="4">
        <f t="shared" si="55"/>
        <v>2291.2243126616117</v>
      </c>
      <c r="G430" s="4">
        <f>'Data - SKU Detail'!G419</f>
        <v>17.4395276239301</v>
      </c>
      <c r="H430" s="4">
        <f>'Data - SKU Detail'!H419</f>
        <v>11.2249565974766</v>
      </c>
      <c r="I430" s="4">
        <f t="shared" si="56"/>
        <v>75.894620560915811</v>
      </c>
      <c r="J430" s="4">
        <f t="shared" si="57"/>
        <v>48.849592726884389</v>
      </c>
      <c r="K430" s="4">
        <f t="shared" si="58"/>
        <v>1221.5067768917218</v>
      </c>
      <c r="L430" s="4">
        <f t="shared" si="59"/>
        <v>1194.4617490576902</v>
      </c>
      <c r="M430" s="4">
        <f t="shared" si="60"/>
        <v>12586.405829092304</v>
      </c>
      <c r="N430" s="4">
        <f t="shared" si="61"/>
        <v>12307.733862290443</v>
      </c>
      <c r="O430" s="4">
        <f t="shared" si="62"/>
        <v>278.67196680186134</v>
      </c>
    </row>
    <row r="431" spans="1:15" x14ac:dyDescent="0.25">
      <c r="A431" s="4">
        <f>'Data - SKU Detail'!A420</f>
        <v>9</v>
      </c>
      <c r="B431" s="4">
        <f>'Data - SKU Detail'!B420</f>
        <v>19</v>
      </c>
      <c r="C431" s="4">
        <f>'Data - SKU Detail'!C420</f>
        <v>547.29999999999995</v>
      </c>
      <c r="D431" s="4">
        <f>'Data - SKU Detail'!F420</f>
        <v>17431</v>
      </c>
      <c r="E431" s="4">
        <f t="shared" si="54"/>
        <v>109.46</v>
      </c>
      <c r="F431" s="4">
        <f t="shared" si="55"/>
        <v>488.74132182966088</v>
      </c>
      <c r="G431" s="4">
        <f>'Data - SKU Detail'!G420</f>
        <v>10.909872707945899</v>
      </c>
      <c r="H431" s="4">
        <f>'Data - SKU Detail'!H420</f>
        <v>7.0425725174609397</v>
      </c>
      <c r="I431" s="4">
        <f t="shared" si="56"/>
        <v>47.478387453641957</v>
      </c>
      <c r="J431" s="4">
        <f t="shared" si="57"/>
        <v>30.648385696640812</v>
      </c>
      <c r="K431" s="4">
        <f t="shared" si="58"/>
        <v>291.84904836847238</v>
      </c>
      <c r="L431" s="4">
        <f t="shared" si="59"/>
        <v>275.01904661147125</v>
      </c>
      <c r="M431" s="4">
        <f t="shared" si="60"/>
        <v>31945.796834412984</v>
      </c>
      <c r="N431" s="4">
        <f t="shared" si="61"/>
        <v>30103.584842091641</v>
      </c>
      <c r="O431" s="4">
        <f t="shared" si="62"/>
        <v>1842.2119923213431</v>
      </c>
    </row>
    <row r="432" spans="1:15" x14ac:dyDescent="0.25">
      <c r="A432" s="4">
        <f>'Data - SKU Detail'!A421</f>
        <v>9</v>
      </c>
      <c r="B432" s="4">
        <f>'Data - SKU Detail'!B421</f>
        <v>20</v>
      </c>
      <c r="C432" s="4">
        <f>'Data - SKU Detail'!C421</f>
        <v>424.89</v>
      </c>
      <c r="D432" s="4">
        <f>'Data - SKU Detail'!F421</f>
        <v>20181</v>
      </c>
      <c r="E432" s="4">
        <f t="shared" si="54"/>
        <v>84.978000000000009</v>
      </c>
      <c r="F432" s="4">
        <f t="shared" si="55"/>
        <v>596.84796571234358</v>
      </c>
      <c r="G432" s="4">
        <f>'Data - SKU Detail'!G421</f>
        <v>11.031640200948001</v>
      </c>
      <c r="H432" s="4">
        <f>'Data - SKU Detail'!H421</f>
        <v>7.7742978510387104</v>
      </c>
      <c r="I432" s="4">
        <f t="shared" si="56"/>
        <v>48.008304196648652</v>
      </c>
      <c r="J432" s="4">
        <f t="shared" si="57"/>
        <v>33.83276188756998</v>
      </c>
      <c r="K432" s="4">
        <f t="shared" si="58"/>
        <v>346.43228705282047</v>
      </c>
      <c r="L432" s="4">
        <f t="shared" si="59"/>
        <v>332.25674474374176</v>
      </c>
      <c r="M432" s="4">
        <f t="shared" si="60"/>
        <v>29439.122889174581</v>
      </c>
      <c r="N432" s="4">
        <f t="shared" si="61"/>
        <v>28234.513654833689</v>
      </c>
      <c r="O432" s="4">
        <f t="shared" si="62"/>
        <v>1204.6092343408927</v>
      </c>
    </row>
    <row r="433" spans="1:15" x14ac:dyDescent="0.25">
      <c r="A433" s="4">
        <f>'Data - SKU Detail'!A422</f>
        <v>9</v>
      </c>
      <c r="B433" s="4">
        <f>'Data - SKU Detail'!B422</f>
        <v>21</v>
      </c>
      <c r="C433" s="4">
        <f>'Data - SKU Detail'!C422</f>
        <v>647.92999999999995</v>
      </c>
      <c r="D433" s="4">
        <f>'Data - SKU Detail'!F422</f>
        <v>17441</v>
      </c>
      <c r="E433" s="4">
        <f t="shared" si="54"/>
        <v>129.58599999999998</v>
      </c>
      <c r="F433" s="4">
        <f t="shared" si="55"/>
        <v>449.31640802008809</v>
      </c>
      <c r="G433" s="4">
        <f>'Data - SKU Detail'!G422</f>
        <v>9.7223765525180994</v>
      </c>
      <c r="H433" s="4">
        <f>'Data - SKU Detail'!H422</f>
        <v>7.3106689276545804</v>
      </c>
      <c r="I433" s="4">
        <f t="shared" si="56"/>
        <v>42.310554237215122</v>
      </c>
      <c r="J433" s="4">
        <f t="shared" si="57"/>
        <v>31.815107397145489</v>
      </c>
      <c r="K433" s="4">
        <f t="shared" si="58"/>
        <v>266.96875824725919</v>
      </c>
      <c r="L433" s="4">
        <f t="shared" si="59"/>
        <v>256.47331140718956</v>
      </c>
      <c r="M433" s="4">
        <f t="shared" si="60"/>
        <v>34595.413506229328</v>
      </c>
      <c r="N433" s="4">
        <f t="shared" si="61"/>
        <v>33235.35053201206</v>
      </c>
      <c r="O433" s="4">
        <f t="shared" si="62"/>
        <v>1360.0629742172678</v>
      </c>
    </row>
    <row r="434" spans="1:15" x14ac:dyDescent="0.25">
      <c r="A434" s="4">
        <f>'Data - SKU Detail'!A423</f>
        <v>9</v>
      </c>
      <c r="B434" s="4">
        <f>'Data - SKU Detail'!B423</f>
        <v>22</v>
      </c>
      <c r="C434" s="4">
        <f>'Data - SKU Detail'!C423</f>
        <v>72.209999999999994</v>
      </c>
      <c r="D434" s="4">
        <f>'Data - SKU Detail'!F423</f>
        <v>34639</v>
      </c>
      <c r="E434" s="4">
        <f t="shared" si="54"/>
        <v>14.442</v>
      </c>
      <c r="F434" s="4">
        <f t="shared" si="55"/>
        <v>1896.7698254318796</v>
      </c>
      <c r="G434" s="4">
        <f>'Data - SKU Detail'!G423</f>
        <v>15.8299461595194</v>
      </c>
      <c r="H434" s="4">
        <f>'Data - SKU Detail'!H423</f>
        <v>10.066543667692899</v>
      </c>
      <c r="I434" s="4">
        <f t="shared" si="56"/>
        <v>68.889925414488204</v>
      </c>
      <c r="J434" s="4">
        <f t="shared" si="57"/>
        <v>43.808326033504756</v>
      </c>
      <c r="K434" s="4">
        <f t="shared" si="58"/>
        <v>1017.274838130428</v>
      </c>
      <c r="L434" s="4">
        <f t="shared" si="59"/>
        <v>992.1932387494445</v>
      </c>
      <c r="M434" s="4">
        <f t="shared" si="60"/>
        <v>14691.483212279642</v>
      </c>
      <c r="N434" s="4">
        <f t="shared" si="61"/>
        <v>14329.254754019477</v>
      </c>
      <c r="O434" s="4">
        <f t="shared" si="62"/>
        <v>362.22845826016419</v>
      </c>
    </row>
    <row r="435" spans="1:15" x14ac:dyDescent="0.25">
      <c r="A435" s="4">
        <f>'Data - SKU Detail'!A424</f>
        <v>9</v>
      </c>
      <c r="B435" s="4">
        <f>'Data - SKU Detail'!B424</f>
        <v>23</v>
      </c>
      <c r="C435" s="4">
        <f>'Data - SKU Detail'!C424</f>
        <v>1075.06</v>
      </c>
      <c r="D435" s="4">
        <f>'Data - SKU Detail'!F424</f>
        <v>12447</v>
      </c>
      <c r="E435" s="4">
        <f t="shared" si="54"/>
        <v>215.012</v>
      </c>
      <c r="F435" s="4">
        <f t="shared" si="55"/>
        <v>294.67726124773719</v>
      </c>
      <c r="G435" s="4">
        <f>'Data - SKU Detail'!G424</f>
        <v>9.6078073345250399</v>
      </c>
      <c r="H435" s="4">
        <f>'Data - SKU Detail'!H424</f>
        <v>6.61675525105146</v>
      </c>
      <c r="I435" s="4">
        <f t="shared" si="56"/>
        <v>41.81196347747386</v>
      </c>
      <c r="J435" s="4">
        <f t="shared" si="57"/>
        <v>28.795282759489645</v>
      </c>
      <c r="K435" s="4">
        <f t="shared" si="58"/>
        <v>189.15059410134245</v>
      </c>
      <c r="L435" s="4">
        <f t="shared" si="59"/>
        <v>176.13391338335825</v>
      </c>
      <c r="M435" s="4">
        <f t="shared" si="60"/>
        <v>40669.647538917845</v>
      </c>
      <c r="N435" s="4">
        <f t="shared" si="61"/>
        <v>37870.904984382621</v>
      </c>
      <c r="O435" s="4">
        <f t="shared" si="62"/>
        <v>2798.7425545352235</v>
      </c>
    </row>
    <row r="436" spans="1:15" x14ac:dyDescent="0.25">
      <c r="A436" s="4">
        <f>'Data - SKU Detail'!A425</f>
        <v>9</v>
      </c>
      <c r="B436" s="4">
        <f>'Data - SKU Detail'!B425</f>
        <v>24</v>
      </c>
      <c r="C436" s="4">
        <f>'Data - SKU Detail'!C425</f>
        <v>141.85</v>
      </c>
      <c r="D436" s="4">
        <f>'Data - SKU Detail'!F425</f>
        <v>28078</v>
      </c>
      <c r="E436" s="4">
        <f t="shared" si="54"/>
        <v>28.37</v>
      </c>
      <c r="F436" s="4">
        <f t="shared" si="55"/>
        <v>1218.4256875783863</v>
      </c>
      <c r="G436" s="4">
        <f>'Data - SKU Detail'!G425</f>
        <v>10.9036686690461</v>
      </c>
      <c r="H436" s="4">
        <f>'Data - SKU Detail'!H425</f>
        <v>8.5621159750769493</v>
      </c>
      <c r="I436" s="4">
        <f t="shared" si="56"/>
        <v>47.451388260292276</v>
      </c>
      <c r="J436" s="4">
        <f t="shared" si="57"/>
        <v>37.261246814699007</v>
      </c>
      <c r="K436" s="4">
        <f t="shared" si="58"/>
        <v>656.66423204948546</v>
      </c>
      <c r="L436" s="4">
        <f t="shared" si="59"/>
        <v>646.47409060389214</v>
      </c>
      <c r="M436" s="4">
        <f t="shared" si="60"/>
        <v>18629.564263243905</v>
      </c>
      <c r="N436" s="4">
        <f t="shared" si="61"/>
        <v>18340.46995043242</v>
      </c>
      <c r="O436" s="4">
        <f t="shared" si="62"/>
        <v>289.094312811485</v>
      </c>
    </row>
    <row r="437" spans="1:15" x14ac:dyDescent="0.25">
      <c r="A437" s="4">
        <f>'Data - SKU Detail'!A426</f>
        <v>9</v>
      </c>
      <c r="B437" s="4">
        <f>'Data - SKU Detail'!B426</f>
        <v>25</v>
      </c>
      <c r="C437" s="4">
        <f>'Data - SKU Detail'!C426</f>
        <v>56.06</v>
      </c>
      <c r="D437" s="4">
        <f>'Data - SKU Detail'!F426</f>
        <v>34662</v>
      </c>
      <c r="E437" s="4">
        <f t="shared" si="54"/>
        <v>11.212000000000002</v>
      </c>
      <c r="F437" s="4">
        <f t="shared" si="55"/>
        <v>2153.4306689776363</v>
      </c>
      <c r="G437" s="4">
        <f>'Data - SKU Detail'!G426</f>
        <v>16.347088587983901</v>
      </c>
      <c r="H437" s="4">
        <f>'Data - SKU Detail'!H426</f>
        <v>11.225468549508101</v>
      </c>
      <c r="I437" s="4">
        <f t="shared" si="56"/>
        <v>71.140463917056834</v>
      </c>
      <c r="J437" s="4">
        <f t="shared" si="57"/>
        <v>48.851820677435228</v>
      </c>
      <c r="K437" s="4">
        <f t="shared" si="58"/>
        <v>1147.855798405875</v>
      </c>
      <c r="L437" s="4">
        <f t="shared" si="59"/>
        <v>1125.5671551662533</v>
      </c>
      <c r="M437" s="4">
        <f t="shared" si="60"/>
        <v>12869.759211726672</v>
      </c>
      <c r="N437" s="4">
        <f t="shared" si="61"/>
        <v>12619.858943724033</v>
      </c>
      <c r="O437" s="4">
        <f t="shared" si="62"/>
        <v>249.90026800263877</v>
      </c>
    </row>
    <row r="438" spans="1:15" x14ac:dyDescent="0.25">
      <c r="A438" s="4">
        <f>'Data - SKU Detail'!A427</f>
        <v>9</v>
      </c>
      <c r="B438" s="4">
        <f>'Data - SKU Detail'!B427</f>
        <v>26</v>
      </c>
      <c r="C438" s="4">
        <f>'Data - SKU Detail'!C427</f>
        <v>390.5</v>
      </c>
      <c r="D438" s="4">
        <f>'Data - SKU Detail'!F427</f>
        <v>20158</v>
      </c>
      <c r="E438" s="4">
        <f t="shared" si="54"/>
        <v>78.100000000000009</v>
      </c>
      <c r="F438" s="4">
        <f t="shared" si="55"/>
        <v>622.21980874681822</v>
      </c>
      <c r="G438" s="4">
        <f>'Data - SKU Detail'!G427</f>
        <v>10.8931964810506</v>
      </c>
      <c r="H438" s="4">
        <f>'Data - SKU Detail'!H427</f>
        <v>7.3860418164103603</v>
      </c>
      <c r="I438" s="4">
        <f t="shared" si="56"/>
        <v>47.405814621401369</v>
      </c>
      <c r="J438" s="4">
        <f t="shared" si="57"/>
        <v>32.143120684893645</v>
      </c>
      <c r="K438" s="4">
        <f t="shared" si="58"/>
        <v>358.51571899481047</v>
      </c>
      <c r="L438" s="4">
        <f t="shared" si="59"/>
        <v>343.25302505830274</v>
      </c>
      <c r="M438" s="4">
        <f t="shared" si="60"/>
        <v>28000.0776534947</v>
      </c>
      <c r="N438" s="4">
        <f t="shared" si="61"/>
        <v>26808.061257053447</v>
      </c>
      <c r="O438" s="4">
        <f t="shared" si="62"/>
        <v>1192.0163964412532</v>
      </c>
    </row>
    <row r="439" spans="1:15" x14ac:dyDescent="0.25">
      <c r="A439" s="4">
        <f>'Data - SKU Detail'!A428</f>
        <v>9</v>
      </c>
      <c r="B439" s="4">
        <f>'Data - SKU Detail'!B428</f>
        <v>27</v>
      </c>
      <c r="C439" s="4">
        <f>'Data - SKU Detail'!C428</f>
        <v>1639.41</v>
      </c>
      <c r="D439" s="4">
        <f>'Data - SKU Detail'!F428</f>
        <v>9551</v>
      </c>
      <c r="E439" s="4">
        <f t="shared" si="54"/>
        <v>327.88200000000006</v>
      </c>
      <c r="F439" s="4">
        <f t="shared" si="55"/>
        <v>209.03127246342351</v>
      </c>
      <c r="G439" s="4">
        <f>'Data - SKU Detail'!G428</f>
        <v>6.9711370001608701</v>
      </c>
      <c r="H439" s="4">
        <f>'Data - SKU Detail'!H428</f>
        <v>5.0836688858572598</v>
      </c>
      <c r="I439" s="4">
        <f t="shared" si="56"/>
        <v>30.337507351941721</v>
      </c>
      <c r="J439" s="4">
        <f t="shared" si="57"/>
        <v>22.12348461893275</v>
      </c>
      <c r="K439" s="4">
        <f t="shared" si="58"/>
        <v>134.85314358365346</v>
      </c>
      <c r="L439" s="4">
        <f t="shared" si="59"/>
        <v>126.6391208506445</v>
      </c>
      <c r="M439" s="4">
        <f t="shared" si="60"/>
        <v>44215.918424495474</v>
      </c>
      <c r="N439" s="4">
        <f t="shared" si="61"/>
        <v>41522.688222751029</v>
      </c>
      <c r="O439" s="4">
        <f t="shared" si="62"/>
        <v>2693.2302017444454</v>
      </c>
    </row>
    <row r="440" spans="1:15" x14ac:dyDescent="0.25">
      <c r="A440" s="4">
        <f>'Data - SKU Detail'!A429</f>
        <v>9</v>
      </c>
      <c r="B440" s="4">
        <f>'Data - SKU Detail'!B429</f>
        <v>28</v>
      </c>
      <c r="C440" s="4">
        <f>'Data - SKU Detail'!C429</f>
        <v>43.52</v>
      </c>
      <c r="D440" s="4">
        <f>'Data - SKU Detail'!F429</f>
        <v>37873</v>
      </c>
      <c r="E440" s="4">
        <f t="shared" si="54"/>
        <v>8.7040000000000006</v>
      </c>
      <c r="F440" s="4">
        <f t="shared" si="55"/>
        <v>2554.7654973252493</v>
      </c>
      <c r="G440" s="4">
        <f>'Data - SKU Detail'!G429</f>
        <v>16.070348214471</v>
      </c>
      <c r="H440" s="4">
        <f>'Data - SKU Detail'!H429</f>
        <v>10.3974037360782</v>
      </c>
      <c r="I440" s="4">
        <f t="shared" si="56"/>
        <v>69.936124780437794</v>
      </c>
      <c r="J440" s="4">
        <f t="shared" si="57"/>
        <v>45.248187243644708</v>
      </c>
      <c r="K440" s="4">
        <f t="shared" si="58"/>
        <v>1347.3188734430623</v>
      </c>
      <c r="L440" s="4">
        <f t="shared" si="59"/>
        <v>1322.6309359062693</v>
      </c>
      <c r="M440" s="4">
        <f t="shared" si="60"/>
        <v>11727.063474448416</v>
      </c>
      <c r="N440" s="4">
        <f t="shared" si="61"/>
        <v>11512.17966612817</v>
      </c>
      <c r="O440" s="4">
        <f t="shared" si="62"/>
        <v>214.88380832024632</v>
      </c>
    </row>
    <row r="441" spans="1:15" x14ac:dyDescent="0.25">
      <c r="A441" s="4">
        <f>'Data - SKU Detail'!A430</f>
        <v>9</v>
      </c>
      <c r="B441" s="4">
        <f>'Data - SKU Detail'!B430</f>
        <v>29</v>
      </c>
      <c r="C441" s="4">
        <f>'Data - SKU Detail'!C430</f>
        <v>119.82</v>
      </c>
      <c r="D441" s="4">
        <f>'Data - SKU Detail'!F430</f>
        <v>29970</v>
      </c>
      <c r="E441" s="4">
        <f t="shared" si="54"/>
        <v>23.963999999999999</v>
      </c>
      <c r="F441" s="4">
        <f t="shared" si="55"/>
        <v>1369.6491917139015</v>
      </c>
      <c r="G441" s="4">
        <f>'Data - SKU Detail'!G430</f>
        <v>17.365564444493899</v>
      </c>
      <c r="H441" s="4">
        <f>'Data - SKU Detail'!H430</f>
        <v>11.273010035251501</v>
      </c>
      <c r="I441" s="4">
        <f t="shared" si="56"/>
        <v>75.572742149995619</v>
      </c>
      <c r="J441" s="4">
        <f t="shared" si="57"/>
        <v>49.05871521604913</v>
      </c>
      <c r="K441" s="4">
        <f t="shared" si="58"/>
        <v>760.39733800694637</v>
      </c>
      <c r="L441" s="4">
        <f t="shared" si="59"/>
        <v>733.88331107299985</v>
      </c>
      <c r="M441" s="4">
        <f t="shared" si="60"/>
        <v>18222.161807998462</v>
      </c>
      <c r="N441" s="4">
        <f t="shared" si="61"/>
        <v>17586.779666553368</v>
      </c>
      <c r="O441" s="4">
        <f t="shared" si="62"/>
        <v>635.38214144509402</v>
      </c>
    </row>
    <row r="442" spans="1:15" x14ac:dyDescent="0.25">
      <c r="A442" s="4">
        <f>'Data - SKU Detail'!A431</f>
        <v>9</v>
      </c>
      <c r="B442" s="4">
        <f>'Data - SKU Detail'!B431</f>
        <v>30</v>
      </c>
      <c r="C442" s="4">
        <f>'Data - SKU Detail'!C431</f>
        <v>595.5</v>
      </c>
      <c r="D442" s="4">
        <f>'Data - SKU Detail'!F431</f>
        <v>17375</v>
      </c>
      <c r="E442" s="4">
        <f t="shared" si="54"/>
        <v>119.10000000000001</v>
      </c>
      <c r="F442" s="4">
        <f t="shared" si="55"/>
        <v>467.79131604299721</v>
      </c>
      <c r="G442" s="4">
        <f>'Data - SKU Detail'!G431</f>
        <v>10.7423902776435</v>
      </c>
      <c r="H442" s="4">
        <f>'Data - SKU Detail'!H431</f>
        <v>7.7522451797293401</v>
      </c>
      <c r="I442" s="4">
        <f t="shared" si="56"/>
        <v>46.749525080043085</v>
      </c>
      <c r="J442" s="4">
        <f t="shared" si="57"/>
        <v>33.736791448606787</v>
      </c>
      <c r="K442" s="4">
        <f t="shared" si="58"/>
        <v>280.6451831015417</v>
      </c>
      <c r="L442" s="4">
        <f t="shared" si="59"/>
        <v>267.63244947010537</v>
      </c>
      <c r="M442" s="4">
        <f t="shared" si="60"/>
        <v>33424.841307393617</v>
      </c>
      <c r="N442" s="4">
        <f t="shared" si="61"/>
        <v>31875.024731889553</v>
      </c>
      <c r="O442" s="4">
        <f t="shared" si="62"/>
        <v>1549.8165755040645</v>
      </c>
    </row>
    <row r="443" spans="1:15" x14ac:dyDescent="0.25">
      <c r="A443" s="4">
        <f>'Data - SKU Detail'!A432</f>
        <v>9</v>
      </c>
      <c r="B443" s="4">
        <f>'Data - SKU Detail'!B432</f>
        <v>31</v>
      </c>
      <c r="C443" s="4">
        <f>'Data - SKU Detail'!C432</f>
        <v>198.8</v>
      </c>
      <c r="D443" s="4">
        <f>'Data - SKU Detail'!F432</f>
        <v>24870</v>
      </c>
      <c r="E443" s="4">
        <f t="shared" si="54"/>
        <v>39.760000000000005</v>
      </c>
      <c r="F443" s="4">
        <f t="shared" si="55"/>
        <v>968.63539433730057</v>
      </c>
      <c r="G443" s="4">
        <f>'Data - SKU Detail'!G432</f>
        <v>13.5542476809261</v>
      </c>
      <c r="H443" s="4">
        <f>'Data - SKU Detail'!H432</f>
        <v>9.7550837961231096</v>
      </c>
      <c r="I443" s="4">
        <f t="shared" si="56"/>
        <v>58.986373192873046</v>
      </c>
      <c r="J443" s="4">
        <f t="shared" si="57"/>
        <v>42.452892028497359</v>
      </c>
      <c r="K443" s="4">
        <f t="shared" si="58"/>
        <v>543.30407036152337</v>
      </c>
      <c r="L443" s="4">
        <f t="shared" si="59"/>
        <v>526.77058919714761</v>
      </c>
      <c r="M443" s="4">
        <f t="shared" si="60"/>
        <v>21601.769837574171</v>
      </c>
      <c r="N443" s="4">
        <f t="shared" si="61"/>
        <v>20944.398626478593</v>
      </c>
      <c r="O443" s="4">
        <f t="shared" si="62"/>
        <v>657.37121109557847</v>
      </c>
    </row>
    <row r="444" spans="1:15" x14ac:dyDescent="0.25">
      <c r="A444" s="4">
        <f>'Data - SKU Detail'!A433</f>
        <v>9</v>
      </c>
      <c r="B444" s="4">
        <f>'Data - SKU Detail'!B433</f>
        <v>32</v>
      </c>
      <c r="C444" s="4">
        <f>'Data - SKU Detail'!C433</f>
        <v>462.3</v>
      </c>
      <c r="D444" s="4">
        <f>'Data - SKU Detail'!F433</f>
        <v>18785</v>
      </c>
      <c r="E444" s="4">
        <f t="shared" si="54"/>
        <v>92.460000000000008</v>
      </c>
      <c r="F444" s="4">
        <f t="shared" si="55"/>
        <v>552.04475079349334</v>
      </c>
      <c r="G444" s="4">
        <f>'Data - SKU Detail'!G433</f>
        <v>10.5173167331846</v>
      </c>
      <c r="H444" s="4">
        <f>'Data - SKU Detail'!H433</f>
        <v>7.0466039308087103</v>
      </c>
      <c r="I444" s="4">
        <f t="shared" si="56"/>
        <v>45.770033454847386</v>
      </c>
      <c r="J444" s="4">
        <f t="shared" si="57"/>
        <v>30.665929898120986</v>
      </c>
      <c r="K444" s="4">
        <f t="shared" si="58"/>
        <v>321.79240885159408</v>
      </c>
      <c r="L444" s="4">
        <f t="shared" si="59"/>
        <v>306.68830529486763</v>
      </c>
      <c r="M444" s="4">
        <f t="shared" si="60"/>
        <v>29752.92612241839</v>
      </c>
      <c r="N444" s="4">
        <f t="shared" si="61"/>
        <v>28356.400707563465</v>
      </c>
      <c r="O444" s="4">
        <f t="shared" si="62"/>
        <v>1396.5254148549247</v>
      </c>
    </row>
    <row r="445" spans="1:15" x14ac:dyDescent="0.25">
      <c r="A445" s="4">
        <f>'Data - SKU Detail'!A434</f>
        <v>9</v>
      </c>
      <c r="B445" s="4">
        <f>'Data - SKU Detail'!B434</f>
        <v>33</v>
      </c>
      <c r="C445" s="4">
        <f>'Data - SKU Detail'!C434</f>
        <v>130.37</v>
      </c>
      <c r="D445" s="4">
        <f>'Data - SKU Detail'!F434</f>
        <v>29897</v>
      </c>
      <c r="E445" s="4">
        <f t="shared" si="54"/>
        <v>26.074000000000002</v>
      </c>
      <c r="F445" s="4">
        <f t="shared" si="55"/>
        <v>1311.4616779611231</v>
      </c>
      <c r="G445" s="4">
        <f>'Data - SKU Detail'!G434</f>
        <v>15.8391641471108</v>
      </c>
      <c r="H445" s="4">
        <f>'Data - SKU Detail'!H434</f>
        <v>10.804378509247901</v>
      </c>
      <c r="I445" s="4">
        <f t="shared" si="56"/>
        <v>68.930040931701214</v>
      </c>
      <c r="J445" s="4">
        <f t="shared" si="57"/>
        <v>47.019290031153496</v>
      </c>
      <c r="K445" s="4">
        <f t="shared" si="58"/>
        <v>724.66087991226277</v>
      </c>
      <c r="L445" s="4">
        <f t="shared" si="59"/>
        <v>702.75012901171499</v>
      </c>
      <c r="M445" s="4">
        <f t="shared" si="60"/>
        <v>18894.80778283234</v>
      </c>
      <c r="N445" s="4">
        <f t="shared" si="61"/>
        <v>18323.506863851457</v>
      </c>
      <c r="O445" s="4">
        <f t="shared" si="62"/>
        <v>571.30091898088358</v>
      </c>
    </row>
    <row r="446" spans="1:15" x14ac:dyDescent="0.25">
      <c r="A446" s="4">
        <f>'Data - SKU Detail'!A435</f>
        <v>9</v>
      </c>
      <c r="B446" s="4">
        <f>'Data - SKU Detail'!B435</f>
        <v>34</v>
      </c>
      <c r="C446" s="4">
        <f>'Data - SKU Detail'!C435</f>
        <v>1384.8</v>
      </c>
      <c r="D446" s="4">
        <f>'Data - SKU Detail'!F435</f>
        <v>11040</v>
      </c>
      <c r="E446" s="4">
        <f t="shared" si="54"/>
        <v>276.95999999999998</v>
      </c>
      <c r="F446" s="4">
        <f t="shared" si="55"/>
        <v>244.52408415049027</v>
      </c>
      <c r="G446" s="4">
        <f>'Data - SKU Detail'!G435</f>
        <v>7.12464951233913</v>
      </c>
      <c r="H446" s="4">
        <f>'Data - SKU Detail'!H435</f>
        <v>5.4354805795568204</v>
      </c>
      <c r="I446" s="4">
        <f t="shared" si="56"/>
        <v>31.005574407102955</v>
      </c>
      <c r="J446" s="4">
        <f t="shared" si="57"/>
        <v>23.65452465499332</v>
      </c>
      <c r="K446" s="4">
        <f t="shared" si="58"/>
        <v>153.2676164823481</v>
      </c>
      <c r="L446" s="4">
        <f t="shared" si="59"/>
        <v>145.91656673023846</v>
      </c>
      <c r="M446" s="4">
        <f t="shared" si="60"/>
        <v>42448.99906095113</v>
      </c>
      <c r="N446" s="4">
        <f t="shared" si="61"/>
        <v>40413.05232160684</v>
      </c>
      <c r="O446" s="4">
        <f t="shared" si="62"/>
        <v>2035.9467393442901</v>
      </c>
    </row>
    <row r="447" spans="1:15" x14ac:dyDescent="0.25">
      <c r="A447" s="4">
        <f>'Data - SKU Detail'!A436</f>
        <v>9</v>
      </c>
      <c r="B447" s="4">
        <f>'Data - SKU Detail'!B436</f>
        <v>35</v>
      </c>
      <c r="C447" s="4">
        <f>'Data - SKU Detail'!C436</f>
        <v>167.93</v>
      </c>
      <c r="D447" s="4">
        <f>'Data - SKU Detail'!F436</f>
        <v>28257</v>
      </c>
      <c r="E447" s="4">
        <f t="shared" si="54"/>
        <v>33.586000000000006</v>
      </c>
      <c r="F447" s="4">
        <f t="shared" si="55"/>
        <v>1123.3873095340077</v>
      </c>
      <c r="G447" s="4">
        <f>'Data - SKU Detail'!G436</f>
        <v>15.2261342708898</v>
      </c>
      <c r="H447" s="4">
        <f>'Data - SKU Detail'!H436</f>
        <v>9.3423299128731703</v>
      </c>
      <c r="I447" s="4">
        <f t="shared" si="56"/>
        <v>66.26221237283265</v>
      </c>
      <c r="J447" s="4">
        <f t="shared" si="57"/>
        <v>40.656639284167618</v>
      </c>
      <c r="K447" s="4">
        <f t="shared" si="58"/>
        <v>627.95586713983653</v>
      </c>
      <c r="L447" s="4">
        <f t="shared" si="59"/>
        <v>602.35029405117143</v>
      </c>
      <c r="M447" s="4">
        <f t="shared" si="60"/>
        <v>21090.525753758553</v>
      </c>
      <c r="N447" s="4">
        <f t="shared" si="61"/>
        <v>20230.536976002648</v>
      </c>
      <c r="O447" s="4">
        <f t="shared" si="62"/>
        <v>859.98877775590518</v>
      </c>
    </row>
    <row r="448" spans="1:15" x14ac:dyDescent="0.25">
      <c r="A448" s="4">
        <f>'Data - SKU Detail'!A437</f>
        <v>9</v>
      </c>
      <c r="B448" s="4">
        <f>'Data - SKU Detail'!B437</f>
        <v>36</v>
      </c>
      <c r="C448" s="4">
        <f>'Data - SKU Detail'!C437</f>
        <v>78.569999999999993</v>
      </c>
      <c r="D448" s="4">
        <f>'Data - SKU Detail'!F437</f>
        <v>33036</v>
      </c>
      <c r="E448" s="4">
        <f t="shared" si="54"/>
        <v>15.713999999999999</v>
      </c>
      <c r="F448" s="4">
        <f t="shared" si="55"/>
        <v>1775.8079006146618</v>
      </c>
      <c r="G448" s="4">
        <f>'Data - SKU Detail'!G437</f>
        <v>14.2016903094149</v>
      </c>
      <c r="H448" s="4">
        <f>'Data - SKU Detail'!H437</f>
        <v>10.1805733173764</v>
      </c>
      <c r="I448" s="4">
        <f t="shared" si="56"/>
        <v>61.803961701216259</v>
      </c>
      <c r="J448" s="4">
        <f t="shared" si="57"/>
        <v>44.304568660142664</v>
      </c>
      <c r="K448" s="4">
        <f t="shared" si="58"/>
        <v>949.70791200854717</v>
      </c>
      <c r="L448" s="4">
        <f t="shared" si="59"/>
        <v>932.20851896747354</v>
      </c>
      <c r="M448" s="4">
        <f t="shared" si="60"/>
        <v>14923.71012930231</v>
      </c>
      <c r="N448" s="4">
        <f t="shared" si="61"/>
        <v>14648.724667054878</v>
      </c>
      <c r="O448" s="4">
        <f t="shared" si="62"/>
        <v>274.98546224743222</v>
      </c>
    </row>
    <row r="449" spans="1:15" x14ac:dyDescent="0.25">
      <c r="A449" s="4">
        <f>'Data - SKU Detail'!A438</f>
        <v>9</v>
      </c>
      <c r="B449" s="4">
        <f>'Data - SKU Detail'!B438</f>
        <v>37</v>
      </c>
      <c r="C449" s="4">
        <f>'Data - SKU Detail'!C438</f>
        <v>1169.73</v>
      </c>
      <c r="D449" s="4">
        <f>'Data - SKU Detail'!F438</f>
        <v>12585</v>
      </c>
      <c r="E449" s="4">
        <f t="shared" si="54"/>
        <v>233.94600000000003</v>
      </c>
      <c r="F449" s="4">
        <f t="shared" si="55"/>
        <v>284.06284178711803</v>
      </c>
      <c r="G449" s="4">
        <f>'Data - SKU Detail'!G438</f>
        <v>9.6498355595236998</v>
      </c>
      <c r="H449" s="4">
        <f>'Data - SKU Detail'!H438</f>
        <v>6.8832530147611299</v>
      </c>
      <c r="I449" s="4">
        <f t="shared" si="56"/>
        <v>41.994865001982198</v>
      </c>
      <c r="J449" s="4">
        <f t="shared" si="57"/>
        <v>29.955047352501023</v>
      </c>
      <c r="K449" s="4">
        <f t="shared" si="58"/>
        <v>184.02628589554121</v>
      </c>
      <c r="L449" s="4">
        <f t="shared" si="59"/>
        <v>171.98646824606004</v>
      </c>
      <c r="M449" s="4">
        <f t="shared" si="60"/>
        <v>43052.213480118291</v>
      </c>
      <c r="N449" s="4">
        <f t="shared" si="61"/>
        <v>40235.546300292764</v>
      </c>
      <c r="O449" s="4">
        <f t="shared" si="62"/>
        <v>2816.6671798255265</v>
      </c>
    </row>
    <row r="450" spans="1:15" x14ac:dyDescent="0.25">
      <c r="A450" s="4">
        <f>'Data - SKU Detail'!A439</f>
        <v>9</v>
      </c>
      <c r="B450" s="4">
        <f>'Data - SKU Detail'!B439</f>
        <v>38</v>
      </c>
      <c r="C450" s="4">
        <f>'Data - SKU Detail'!C439</f>
        <v>66.37</v>
      </c>
      <c r="D450" s="4">
        <f>'Data - SKU Detail'!F439</f>
        <v>34442</v>
      </c>
      <c r="E450" s="4">
        <f t="shared" si="54"/>
        <v>13.274000000000001</v>
      </c>
      <c r="F450" s="4">
        <f t="shared" si="55"/>
        <v>1972.8265505267211</v>
      </c>
      <c r="G450" s="4">
        <f>'Data - SKU Detail'!G439</f>
        <v>16.013681889076299</v>
      </c>
      <c r="H450" s="4">
        <f>'Data - SKU Detail'!H439</f>
        <v>11.0544114360022</v>
      </c>
      <c r="I450" s="4">
        <f t="shared" si="56"/>
        <v>69.68952009267602</v>
      </c>
      <c r="J450" s="4">
        <f t="shared" si="57"/>
        <v>48.107401734231637</v>
      </c>
      <c r="K450" s="4">
        <f t="shared" si="58"/>
        <v>1056.1027953560365</v>
      </c>
      <c r="L450" s="4">
        <f t="shared" si="59"/>
        <v>1034.5206769975921</v>
      </c>
      <c r="M450" s="4">
        <f t="shared" si="60"/>
        <v>14018.708505556029</v>
      </c>
      <c r="N450" s="4">
        <f t="shared" si="61"/>
        <v>13732.227466466038</v>
      </c>
      <c r="O450" s="4">
        <f t="shared" si="62"/>
        <v>286.4810390899911</v>
      </c>
    </row>
    <row r="451" spans="1:15" x14ac:dyDescent="0.25">
      <c r="A451" s="4">
        <f>'Data - SKU Detail'!A440</f>
        <v>9</v>
      </c>
      <c r="B451" s="4">
        <f>'Data - SKU Detail'!B440</f>
        <v>39</v>
      </c>
      <c r="C451" s="4">
        <f>'Data - SKU Detail'!C440</f>
        <v>503.01</v>
      </c>
      <c r="D451" s="4">
        <f>'Data - SKU Detail'!F440</f>
        <v>18984</v>
      </c>
      <c r="E451" s="4">
        <f t="shared" si="54"/>
        <v>100.602</v>
      </c>
      <c r="F451" s="4">
        <f t="shared" si="55"/>
        <v>532.03007702832565</v>
      </c>
      <c r="G451" s="4">
        <f>'Data - SKU Detail'!G440</f>
        <v>12.092230964112501</v>
      </c>
      <c r="H451" s="4">
        <f>'Data - SKU Detail'!H440</f>
        <v>7.83189369731027</v>
      </c>
      <c r="I451" s="4">
        <f t="shared" si="56"/>
        <v>52.623861181708911</v>
      </c>
      <c r="J451" s="4">
        <f t="shared" si="57"/>
        <v>34.083411732733602</v>
      </c>
      <c r="K451" s="4">
        <f t="shared" si="58"/>
        <v>318.63889969587171</v>
      </c>
      <c r="L451" s="4">
        <f t="shared" si="59"/>
        <v>300.09845024689645</v>
      </c>
      <c r="M451" s="4">
        <f t="shared" si="60"/>
        <v>32055.710587204088</v>
      </c>
      <c r="N451" s="4">
        <f t="shared" si="61"/>
        <v>30190.504291738278</v>
      </c>
      <c r="O451" s="4">
        <f t="shared" si="62"/>
        <v>1865.2062954658104</v>
      </c>
    </row>
    <row r="452" spans="1:15" x14ac:dyDescent="0.25">
      <c r="A452" s="4">
        <f>'Data - SKU Detail'!A441</f>
        <v>9</v>
      </c>
      <c r="B452" s="4">
        <f>'Data - SKU Detail'!B441</f>
        <v>40</v>
      </c>
      <c r="C452" s="4">
        <f>'Data - SKU Detail'!C441</f>
        <v>1272.73</v>
      </c>
      <c r="D452" s="4">
        <f>'Data - SKU Detail'!F441</f>
        <v>12416</v>
      </c>
      <c r="E452" s="4">
        <f t="shared" si="54"/>
        <v>254.54600000000002</v>
      </c>
      <c r="F452" s="4">
        <f t="shared" si="55"/>
        <v>270.49132611301377</v>
      </c>
      <c r="G452" s="4">
        <f>'Data - SKU Detail'!G441</f>
        <v>9.9404041174469207</v>
      </c>
      <c r="H452" s="4">
        <f>'Data - SKU Detail'!H441</f>
        <v>6.4009863687911501</v>
      </c>
      <c r="I452" s="4">
        <f t="shared" si="56"/>
        <v>43.259382649825781</v>
      </c>
      <c r="J452" s="4">
        <f t="shared" si="57"/>
        <v>27.856283848445237</v>
      </c>
      <c r="K452" s="4">
        <f t="shared" si="58"/>
        <v>178.50504570633268</v>
      </c>
      <c r="L452" s="4">
        <f t="shared" si="59"/>
        <v>163.10194690495211</v>
      </c>
      <c r="M452" s="4">
        <f t="shared" si="60"/>
        <v>45437.745364364164</v>
      </c>
      <c r="N452" s="4">
        <f t="shared" si="61"/>
        <v>41516.948176867947</v>
      </c>
      <c r="O452" s="4">
        <f t="shared" si="62"/>
        <v>3920.7971874962168</v>
      </c>
    </row>
    <row r="453" spans="1:15" x14ac:dyDescent="0.25">
      <c r="A453" s="4">
        <f>'Data - SKU Detail'!A442</f>
        <v>9</v>
      </c>
      <c r="B453" s="4">
        <f>'Data - SKU Detail'!B442</f>
        <v>41</v>
      </c>
      <c r="C453" s="4">
        <f>'Data - SKU Detail'!C442</f>
        <v>2111.73</v>
      </c>
      <c r="D453" s="4">
        <f>'Data - SKU Detail'!F442</f>
        <v>9482</v>
      </c>
      <c r="E453" s="4">
        <f t="shared" si="54"/>
        <v>422.346</v>
      </c>
      <c r="F453" s="4">
        <f t="shared" si="55"/>
        <v>183.51070866162183</v>
      </c>
      <c r="G453" s="4">
        <f>'Data - SKU Detail'!G442</f>
        <v>8.5295571093466105</v>
      </c>
      <c r="H453" s="4">
        <f>'Data - SKU Detail'!H442</f>
        <v>5.6912184380124398</v>
      </c>
      <c r="I453" s="4">
        <f t="shared" si="56"/>
        <v>37.119554745178313</v>
      </c>
      <c r="J453" s="4">
        <f t="shared" si="57"/>
        <v>24.767463499960524</v>
      </c>
      <c r="K453" s="4">
        <f t="shared" si="58"/>
        <v>128.87490907598922</v>
      </c>
      <c r="L453" s="4">
        <f t="shared" si="59"/>
        <v>116.52281783077144</v>
      </c>
      <c r="M453" s="4">
        <f t="shared" si="60"/>
        <v>54429.802348607744</v>
      </c>
      <c r="N453" s="4">
        <f t="shared" si="61"/>
        <v>49212.946019554998</v>
      </c>
      <c r="O453" s="4">
        <f t="shared" si="62"/>
        <v>5216.8563290527454</v>
      </c>
    </row>
    <row r="454" spans="1:15" x14ac:dyDescent="0.25">
      <c r="A454" s="4">
        <f>'Data - SKU Detail'!A443</f>
        <v>9</v>
      </c>
      <c r="B454" s="4">
        <f>'Data - SKU Detail'!B443</f>
        <v>42</v>
      </c>
      <c r="C454" s="4">
        <f>'Data - SKU Detail'!C443</f>
        <v>704.99</v>
      </c>
      <c r="D454" s="4">
        <f>'Data - SKU Detail'!F443</f>
        <v>15667</v>
      </c>
      <c r="E454" s="4">
        <f t="shared" si="54"/>
        <v>140.99800000000002</v>
      </c>
      <c r="F454" s="4">
        <f t="shared" si="55"/>
        <v>408.25552894723251</v>
      </c>
      <c r="G454" s="4">
        <f>'Data - SKU Detail'!G443</f>
        <v>10.882906289554001</v>
      </c>
      <c r="H454" s="4">
        <f>'Data - SKU Detail'!H443</f>
        <v>7.3280496617205104</v>
      </c>
      <c r="I454" s="4">
        <f t="shared" si="56"/>
        <v>47.361033008276593</v>
      </c>
      <c r="J454" s="4">
        <f t="shared" si="57"/>
        <v>31.890746155571144</v>
      </c>
      <c r="K454" s="4">
        <f t="shared" si="58"/>
        <v>251.48879748189285</v>
      </c>
      <c r="L454" s="4">
        <f t="shared" si="59"/>
        <v>236.0185106291874</v>
      </c>
      <c r="M454" s="4">
        <f t="shared" si="60"/>
        <v>35459.41746735193</v>
      </c>
      <c r="N454" s="4">
        <f t="shared" si="61"/>
        <v>33278.13796169417</v>
      </c>
      <c r="O454" s="4">
        <f t="shared" si="62"/>
        <v>2181.2795056577597</v>
      </c>
    </row>
    <row r="455" spans="1:15" x14ac:dyDescent="0.25">
      <c r="A455" s="4">
        <f>'Data - SKU Detail'!A444</f>
        <v>9</v>
      </c>
      <c r="B455" s="4">
        <f>'Data - SKU Detail'!B444</f>
        <v>43</v>
      </c>
      <c r="C455" s="4">
        <f>'Data - SKU Detail'!C444</f>
        <v>358.9</v>
      </c>
      <c r="D455" s="4">
        <f>'Data - SKU Detail'!F444</f>
        <v>22136</v>
      </c>
      <c r="E455" s="4">
        <f t="shared" si="54"/>
        <v>71.78</v>
      </c>
      <c r="F455" s="4">
        <f t="shared" si="55"/>
        <v>680.13241790042252</v>
      </c>
      <c r="G455" s="4">
        <f>'Data - SKU Detail'!G444</f>
        <v>14.0309704535407</v>
      </c>
      <c r="H455" s="4">
        <f>'Data - SKU Detail'!H444</f>
        <v>8.5527422597664398</v>
      </c>
      <c r="I455" s="4">
        <f t="shared" si="56"/>
        <v>61.061010460609957</v>
      </c>
      <c r="J455" s="4">
        <f t="shared" si="57"/>
        <v>37.220453590130184</v>
      </c>
      <c r="K455" s="4">
        <f t="shared" si="58"/>
        <v>401.12721941082123</v>
      </c>
      <c r="L455" s="4">
        <f t="shared" si="59"/>
        <v>377.28666254034147</v>
      </c>
      <c r="M455" s="4">
        <f t="shared" si="60"/>
        <v>28792.911809308749</v>
      </c>
      <c r="N455" s="4">
        <f t="shared" si="61"/>
        <v>27081.636637145712</v>
      </c>
      <c r="O455" s="4">
        <f t="shared" si="62"/>
        <v>1711.2751721630375</v>
      </c>
    </row>
    <row r="456" spans="1:15" x14ac:dyDescent="0.25">
      <c r="A456" s="4">
        <f>'Data - SKU Detail'!A445</f>
        <v>9</v>
      </c>
      <c r="B456" s="4">
        <f>'Data - SKU Detail'!B445</f>
        <v>44</v>
      </c>
      <c r="C456" s="4">
        <f>'Data - SKU Detail'!C445</f>
        <v>908.1</v>
      </c>
      <c r="D456" s="4">
        <f>'Data - SKU Detail'!F445</f>
        <v>12515</v>
      </c>
      <c r="E456" s="4">
        <f t="shared" si="54"/>
        <v>181.62</v>
      </c>
      <c r="F456" s="4">
        <f t="shared" si="55"/>
        <v>321.49869975039695</v>
      </c>
      <c r="G456" s="4">
        <f>'Data - SKU Detail'!G445</f>
        <v>7.4702467641725301</v>
      </c>
      <c r="H456" s="4">
        <f>'Data - SKU Detail'!H445</f>
        <v>5.5966307966615902</v>
      </c>
      <c r="I456" s="4">
        <f t="shared" si="56"/>
        <v>32.509569977418771</v>
      </c>
      <c r="J456" s="4">
        <f t="shared" si="57"/>
        <v>24.355830036894456</v>
      </c>
      <c r="K456" s="4">
        <f t="shared" si="58"/>
        <v>193.25891985261725</v>
      </c>
      <c r="L456" s="4">
        <f t="shared" si="59"/>
        <v>185.10517991209292</v>
      </c>
      <c r="M456" s="4">
        <f t="shared" si="60"/>
        <v>35099.685023632344</v>
      </c>
      <c r="N456" s="4">
        <f t="shared" si="61"/>
        <v>33618.802775634314</v>
      </c>
      <c r="O456" s="4">
        <f t="shared" si="62"/>
        <v>1480.8822479980299</v>
      </c>
    </row>
    <row r="457" spans="1:15" x14ac:dyDescent="0.25">
      <c r="A457" s="4">
        <f>'Data - SKU Detail'!A446</f>
        <v>9</v>
      </c>
      <c r="B457" s="4">
        <f>'Data - SKU Detail'!B446</f>
        <v>45</v>
      </c>
      <c r="C457" s="4">
        <f>'Data - SKU Detail'!C446</f>
        <v>61</v>
      </c>
      <c r="D457" s="4">
        <f>'Data - SKU Detail'!F446</f>
        <v>34728</v>
      </c>
      <c r="E457" s="4">
        <f t="shared" si="54"/>
        <v>12.200000000000001</v>
      </c>
      <c r="F457" s="4">
        <f t="shared" si="55"/>
        <v>2066.3581648818217</v>
      </c>
      <c r="G457" s="4">
        <f>'Data - SKU Detail'!G446</f>
        <v>13.6932253137656</v>
      </c>
      <c r="H457" s="4">
        <f>'Data - SKU Detail'!H446</f>
        <v>9.8425981081110301</v>
      </c>
      <c r="I457" s="4">
        <f t="shared" si="56"/>
        <v>59.591186289779117</v>
      </c>
      <c r="J457" s="4">
        <f t="shared" si="57"/>
        <v>42.833743255961743</v>
      </c>
      <c r="K457" s="4">
        <f t="shared" si="58"/>
        <v>1092.7702687306901</v>
      </c>
      <c r="L457" s="4">
        <f t="shared" si="59"/>
        <v>1076.0128256968726</v>
      </c>
      <c r="M457" s="4">
        <f t="shared" si="60"/>
        <v>13331.797278514419</v>
      </c>
      <c r="N457" s="4">
        <f t="shared" si="61"/>
        <v>13127.356473501846</v>
      </c>
      <c r="O457" s="4">
        <f t="shared" si="62"/>
        <v>204.44080501257304</v>
      </c>
    </row>
    <row r="458" spans="1:15" x14ac:dyDescent="0.25">
      <c r="A458" s="4">
        <f>'Data - SKU Detail'!A447</f>
        <v>9</v>
      </c>
      <c r="B458" s="4">
        <f>'Data - SKU Detail'!B447</f>
        <v>46</v>
      </c>
      <c r="C458" s="4">
        <f>'Data - SKU Detail'!C447</f>
        <v>216.31</v>
      </c>
      <c r="D458" s="4">
        <f>'Data - SKU Detail'!F447</f>
        <v>25093</v>
      </c>
      <c r="E458" s="4">
        <f t="shared" si="54"/>
        <v>43.262</v>
      </c>
      <c r="F458" s="4">
        <f t="shared" si="55"/>
        <v>932.75723495411864</v>
      </c>
      <c r="G458" s="4">
        <f>'Data - SKU Detail'!G447</f>
        <v>12.2294270824683</v>
      </c>
      <c r="H458" s="4">
        <f>'Data - SKU Detail'!H447</f>
        <v>8.5117374683481497</v>
      </c>
      <c r="I458" s="4">
        <f t="shared" si="56"/>
        <v>53.220921352694056</v>
      </c>
      <c r="J458" s="4">
        <f t="shared" si="57"/>
        <v>37.042005919242563</v>
      </c>
      <c r="K458" s="4">
        <f t="shared" si="58"/>
        <v>519.59953882975333</v>
      </c>
      <c r="L458" s="4">
        <f t="shared" si="59"/>
        <v>503.42062339630189</v>
      </c>
      <c r="M458" s="4">
        <f t="shared" si="60"/>
        <v>22478.915248852787</v>
      </c>
      <c r="N458" s="4">
        <f t="shared" si="61"/>
        <v>21778.983009370811</v>
      </c>
      <c r="O458" s="4">
        <f t="shared" si="62"/>
        <v>699.93223948197556</v>
      </c>
    </row>
    <row r="459" spans="1:15" x14ac:dyDescent="0.25">
      <c r="A459" s="4">
        <f>'Data - SKU Detail'!A448</f>
        <v>9</v>
      </c>
      <c r="B459" s="4">
        <f>'Data - SKU Detail'!B448</f>
        <v>47</v>
      </c>
      <c r="C459" s="4">
        <f>'Data - SKU Detail'!C448</f>
        <v>1940.83</v>
      </c>
      <c r="D459" s="4">
        <f>'Data - SKU Detail'!F448</f>
        <v>9329</v>
      </c>
      <c r="E459" s="4">
        <f t="shared" si="54"/>
        <v>388.166</v>
      </c>
      <c r="F459" s="4">
        <f t="shared" si="55"/>
        <v>189.86916039302486</v>
      </c>
      <c r="G459" s="4">
        <f>'Data - SKU Detail'!G448</f>
        <v>7.7307395178336202</v>
      </c>
      <c r="H459" s="4">
        <f>'Data - SKU Detail'!H448</f>
        <v>5.0911982355989203</v>
      </c>
      <c r="I459" s="4">
        <f t="shared" si="56"/>
        <v>33.643201525491705</v>
      </c>
      <c r="J459" s="4">
        <f t="shared" si="57"/>
        <v>22.156251397599942</v>
      </c>
      <c r="K459" s="4">
        <f t="shared" si="58"/>
        <v>128.57778172200415</v>
      </c>
      <c r="L459" s="4">
        <f t="shared" si="59"/>
        <v>117.09083159411237</v>
      </c>
      <c r="M459" s="4">
        <f t="shared" si="60"/>
        <v>49909.523219903458</v>
      </c>
      <c r="N459" s="4">
        <f t="shared" si="61"/>
        <v>45450.679736560225</v>
      </c>
      <c r="O459" s="4">
        <f t="shared" si="62"/>
        <v>4458.8434833432329</v>
      </c>
    </row>
    <row r="460" spans="1:15" x14ac:dyDescent="0.25">
      <c r="A460" s="4">
        <f>'Data - SKU Detail'!A449</f>
        <v>9</v>
      </c>
      <c r="B460" s="4">
        <f>'Data - SKU Detail'!B449</f>
        <v>48</v>
      </c>
      <c r="C460" s="4">
        <f>'Data - SKU Detail'!C449</f>
        <v>329.86</v>
      </c>
      <c r="D460" s="4">
        <f>'Data - SKU Detail'!F449</f>
        <v>21942</v>
      </c>
      <c r="E460" s="4">
        <f t="shared" si="54"/>
        <v>65.972000000000008</v>
      </c>
      <c r="F460" s="4">
        <f t="shared" si="55"/>
        <v>706.32391291598742</v>
      </c>
      <c r="G460" s="4">
        <f>'Data - SKU Detail'!G449</f>
        <v>12.312249813135701</v>
      </c>
      <c r="H460" s="4">
        <f>'Data - SKU Detail'!H449</f>
        <v>7.7675786174602397</v>
      </c>
      <c r="I460" s="4">
        <f t="shared" si="56"/>
        <v>53.581355411079677</v>
      </c>
      <c r="J460" s="4">
        <f t="shared" si="57"/>
        <v>33.803520632078722</v>
      </c>
      <c r="K460" s="4">
        <f t="shared" si="58"/>
        <v>406.74331186907341</v>
      </c>
      <c r="L460" s="4">
        <f t="shared" si="59"/>
        <v>386.96547709007245</v>
      </c>
      <c r="M460" s="4">
        <f t="shared" si="60"/>
        <v>26833.669770626515</v>
      </c>
      <c r="N460" s="4">
        <f t="shared" si="61"/>
        <v>25528.886454586263</v>
      </c>
      <c r="O460" s="4">
        <f t="shared" si="62"/>
        <v>1304.7833160402515</v>
      </c>
    </row>
    <row r="461" spans="1:15" x14ac:dyDescent="0.25">
      <c r="A461" s="4">
        <f>'Data - SKU Detail'!A450</f>
        <v>9</v>
      </c>
      <c r="B461" s="4">
        <f>'Data - SKU Detail'!B450</f>
        <v>49</v>
      </c>
      <c r="C461" s="4">
        <f>'Data - SKU Detail'!C450</f>
        <v>988.06</v>
      </c>
      <c r="D461" s="4">
        <f>'Data - SKU Detail'!F450</f>
        <v>12841</v>
      </c>
      <c r="E461" s="4">
        <f t="shared" ref="E461:E512" si="63">C461*$B$6</f>
        <v>197.61199999999999</v>
      </c>
      <c r="F461" s="4">
        <f t="shared" ref="F461:F524" si="64">SQRT(2*D461*$B$5/E461)</f>
        <v>312.20395162534561</v>
      </c>
      <c r="G461" s="4">
        <f>'Data - SKU Detail'!G450</f>
        <v>8.8096272209767896</v>
      </c>
      <c r="H461" s="4">
        <f>'Data - SKU Detail'!H450</f>
        <v>5.6455415859920599</v>
      </c>
      <c r="I461" s="4">
        <f t="shared" ref="I461:I512" si="65">$B$9*G461*SQRT($B$7)</f>
        <v>38.338384481338089</v>
      </c>
      <c r="J461" s="4">
        <f t="shared" ref="J461:J512" si="66">$B$9*H461*SQRT($B$7)</f>
        <v>24.568683611694112</v>
      </c>
      <c r="K461" s="4">
        <f t="shared" ref="K461:K512" si="67">F461/2+I461</f>
        <v>194.4403602940109</v>
      </c>
      <c r="L461" s="4">
        <f t="shared" ref="L461:L512" si="68">F461/2+J461</f>
        <v>180.67065942436693</v>
      </c>
      <c r="M461" s="4">
        <f t="shared" ref="M461:M512" si="69">K461*E461</f>
        <v>38423.748478420079</v>
      </c>
      <c r="N461" s="4">
        <f t="shared" ref="N461:N512" si="70">L461*E461</f>
        <v>35702.690350167999</v>
      </c>
      <c r="O461" s="4">
        <f t="shared" ref="O461:O524" si="71">M461-N461</f>
        <v>2721.0581282520798</v>
      </c>
    </row>
    <row r="462" spans="1:15" x14ac:dyDescent="0.25">
      <c r="A462" s="4">
        <f>'Data - SKU Detail'!A451</f>
        <v>9</v>
      </c>
      <c r="B462" s="4">
        <f>'Data - SKU Detail'!B451</f>
        <v>50</v>
      </c>
      <c r="C462" s="4">
        <f>'Data - SKU Detail'!C451</f>
        <v>154.34</v>
      </c>
      <c r="D462" s="4">
        <f>'Data - SKU Detail'!F451</f>
        <v>28149</v>
      </c>
      <c r="E462" s="4">
        <f t="shared" si="63"/>
        <v>30.868000000000002</v>
      </c>
      <c r="F462" s="4">
        <f t="shared" si="64"/>
        <v>1169.5609766324383</v>
      </c>
      <c r="G462" s="4">
        <f>'Data - SKU Detail'!G451</f>
        <v>13.6378663985406</v>
      </c>
      <c r="H462" s="4">
        <f>'Data - SKU Detail'!H451</f>
        <v>8.7330331048709997</v>
      </c>
      <c r="I462" s="4">
        <f t="shared" si="65"/>
        <v>59.350271285871543</v>
      </c>
      <c r="J462" s="4">
        <f t="shared" si="66"/>
        <v>38.005056566476959</v>
      </c>
      <c r="K462" s="4">
        <f t="shared" si="67"/>
        <v>644.13075960209062</v>
      </c>
      <c r="L462" s="4">
        <f t="shared" si="68"/>
        <v>622.78554488269606</v>
      </c>
      <c r="M462" s="4">
        <f t="shared" si="69"/>
        <v>19883.028287397334</v>
      </c>
      <c r="N462" s="4">
        <f t="shared" si="70"/>
        <v>19224.144199439063</v>
      </c>
      <c r="O462" s="4">
        <f t="shared" si="71"/>
        <v>658.88408795827127</v>
      </c>
    </row>
    <row r="463" spans="1:15" x14ac:dyDescent="0.25">
      <c r="A463" s="4">
        <f>'Data - SKU Detail'!A452</f>
        <v>10</v>
      </c>
      <c r="B463" s="4">
        <f>'Data - SKU Detail'!B452</f>
        <v>1</v>
      </c>
      <c r="C463" s="4">
        <f>'Data - SKU Detail'!C452</f>
        <v>2297.6799999999998</v>
      </c>
      <c r="D463" s="4">
        <f>'Data - SKU Detail'!F452</f>
        <v>10080</v>
      </c>
      <c r="E463" s="4">
        <f t="shared" si="63"/>
        <v>459.536</v>
      </c>
      <c r="F463" s="4">
        <f t="shared" si="64"/>
        <v>181.39116318712649</v>
      </c>
      <c r="G463" s="4">
        <f>'Data - SKU Detail'!G452</f>
        <v>6.3954994179177804</v>
      </c>
      <c r="H463" s="4">
        <f>'Data - SKU Detail'!H452</f>
        <v>4.2881186198619403</v>
      </c>
      <c r="I463" s="4">
        <f t="shared" si="65"/>
        <v>27.832405331575359</v>
      </c>
      <c r="J463" s="4">
        <f t="shared" si="66"/>
        <v>18.661350387039839</v>
      </c>
      <c r="K463" s="4">
        <f t="shared" si="67"/>
        <v>118.52798692513861</v>
      </c>
      <c r="L463" s="4">
        <f t="shared" si="68"/>
        <v>109.35693198060309</v>
      </c>
      <c r="M463" s="4">
        <f t="shared" si="69"/>
        <v>54467.876999630498</v>
      </c>
      <c r="N463" s="4">
        <f t="shared" si="70"/>
        <v>50253.447094638424</v>
      </c>
      <c r="O463" s="4">
        <f t="shared" si="71"/>
        <v>4214.4299049920737</v>
      </c>
    </row>
    <row r="464" spans="1:15" x14ac:dyDescent="0.25">
      <c r="A464" s="4">
        <f>'Data - SKU Detail'!A453</f>
        <v>10</v>
      </c>
      <c r="B464" s="4">
        <f>'Data - SKU Detail'!B453</f>
        <v>2</v>
      </c>
      <c r="C464" s="4">
        <f>'Data - SKU Detail'!C453</f>
        <v>235.35</v>
      </c>
      <c r="D464" s="4">
        <f>'Data - SKU Detail'!F453</f>
        <v>26781</v>
      </c>
      <c r="E464" s="4">
        <f t="shared" si="63"/>
        <v>47.07</v>
      </c>
      <c r="F464" s="4">
        <f t="shared" si="64"/>
        <v>923.81907460302114</v>
      </c>
      <c r="G464" s="4">
        <f>'Data - SKU Detail'!G453</f>
        <v>13.4828907172272</v>
      </c>
      <c r="H464" s="4">
        <f>'Data - SKU Detail'!H453</f>
        <v>8.2348418666359908</v>
      </c>
      <c r="I464" s="4">
        <f t="shared" si="65"/>
        <v>58.675836703520211</v>
      </c>
      <c r="J464" s="4">
        <f t="shared" si="66"/>
        <v>35.836991249114995</v>
      </c>
      <c r="K464" s="4">
        <f t="shared" si="67"/>
        <v>520.58537400503076</v>
      </c>
      <c r="L464" s="4">
        <f t="shared" si="68"/>
        <v>497.74652855062556</v>
      </c>
      <c r="M464" s="4">
        <f t="shared" si="69"/>
        <v>24503.953554416799</v>
      </c>
      <c r="N464" s="4">
        <f t="shared" si="70"/>
        <v>23428.929098877947</v>
      </c>
      <c r="O464" s="4">
        <f t="shared" si="71"/>
        <v>1075.0244555388526</v>
      </c>
    </row>
    <row r="465" spans="1:15" x14ac:dyDescent="0.25">
      <c r="A465" s="4">
        <f>'Data - SKU Detail'!A454</f>
        <v>10</v>
      </c>
      <c r="B465" s="4">
        <f>'Data - SKU Detail'!B454</f>
        <v>3</v>
      </c>
      <c r="C465" s="4">
        <f>'Data - SKU Detail'!C454</f>
        <v>767.06</v>
      </c>
      <c r="D465" s="4">
        <f>'Data - SKU Detail'!F454</f>
        <v>16833</v>
      </c>
      <c r="E465" s="4">
        <f t="shared" si="63"/>
        <v>153.41200000000001</v>
      </c>
      <c r="F465" s="4">
        <f t="shared" si="64"/>
        <v>405.69226304070111</v>
      </c>
      <c r="G465" s="4">
        <f>'Data - SKU Detail'!G454</f>
        <v>10.849682005375699</v>
      </c>
      <c r="H465" s="4">
        <f>'Data - SKU Detail'!H454</f>
        <v>7.5428066937436</v>
      </c>
      <c r="I465" s="4">
        <f t="shared" si="65"/>
        <v>47.216445121752642</v>
      </c>
      <c r="J465" s="4">
        <f t="shared" si="66"/>
        <v>32.825341622240543</v>
      </c>
      <c r="K465" s="4">
        <f t="shared" si="67"/>
        <v>250.06257664210318</v>
      </c>
      <c r="L465" s="4">
        <f t="shared" si="68"/>
        <v>235.67147314259108</v>
      </c>
      <c r="M465" s="4">
        <f t="shared" si="69"/>
        <v>38362.600007818335</v>
      </c>
      <c r="N465" s="4">
        <f t="shared" si="70"/>
        <v>36154.832037751185</v>
      </c>
      <c r="O465" s="4">
        <f t="shared" si="71"/>
        <v>2207.7679700671506</v>
      </c>
    </row>
    <row r="466" spans="1:15" x14ac:dyDescent="0.25">
      <c r="A466" s="4">
        <f>'Data - SKU Detail'!A455</f>
        <v>10</v>
      </c>
      <c r="B466" s="4">
        <f>'Data - SKU Detail'!B455</f>
        <v>4</v>
      </c>
      <c r="C466" s="4">
        <f>'Data - SKU Detail'!C455</f>
        <v>1783.76</v>
      </c>
      <c r="D466" s="4">
        <f>'Data - SKU Detail'!F455</f>
        <v>10010</v>
      </c>
      <c r="E466" s="4">
        <f t="shared" si="63"/>
        <v>356.75200000000001</v>
      </c>
      <c r="F466" s="4">
        <f t="shared" si="64"/>
        <v>205.15375008551266</v>
      </c>
      <c r="G466" s="4">
        <f>'Data - SKU Detail'!G455</f>
        <v>8.5964636780918795</v>
      </c>
      <c r="H466" s="4">
        <f>'Data - SKU Detail'!H455</f>
        <v>5.9257384189744302</v>
      </c>
      <c r="I466" s="4">
        <f t="shared" si="65"/>
        <v>37.410723678044782</v>
      </c>
      <c r="J466" s="4">
        <f t="shared" si="66"/>
        <v>25.788064823166113</v>
      </c>
      <c r="K466" s="4">
        <f t="shared" si="67"/>
        <v>139.98759872080112</v>
      </c>
      <c r="L466" s="4">
        <f t="shared" si="68"/>
        <v>128.36493986592245</v>
      </c>
      <c r="M466" s="4">
        <f t="shared" si="69"/>
        <v>49940.855818843243</v>
      </c>
      <c r="N466" s="4">
        <f t="shared" si="70"/>
        <v>45794.449027047565</v>
      </c>
      <c r="O466" s="4">
        <f t="shared" si="71"/>
        <v>4146.4067917956781</v>
      </c>
    </row>
    <row r="467" spans="1:15" x14ac:dyDescent="0.25">
      <c r="A467" s="4">
        <f>'Data - SKU Detail'!A456</f>
        <v>10</v>
      </c>
      <c r="B467" s="4">
        <f>'Data - SKU Detail'!B456</f>
        <v>5</v>
      </c>
      <c r="C467" s="4">
        <f>'Data - SKU Detail'!C456</f>
        <v>2500</v>
      </c>
      <c r="D467" s="4">
        <f>'Data - SKU Detail'!F456</f>
        <v>8546</v>
      </c>
      <c r="E467" s="4">
        <f t="shared" si="63"/>
        <v>500</v>
      </c>
      <c r="F467" s="4">
        <f t="shared" si="64"/>
        <v>160.11870596529315</v>
      </c>
      <c r="G467" s="4">
        <f>'Data - SKU Detail'!G456</f>
        <v>7.7225153409747902</v>
      </c>
      <c r="H467" s="4">
        <f>'Data - SKU Detail'!H456</f>
        <v>5.41965169260369</v>
      </c>
      <c r="I467" s="4">
        <f t="shared" si="65"/>
        <v>33.60741094700893</v>
      </c>
      <c r="J467" s="4">
        <f t="shared" si="66"/>
        <v>23.585639339111196</v>
      </c>
      <c r="K467" s="4">
        <f t="shared" si="67"/>
        <v>113.6667639296555</v>
      </c>
      <c r="L467" s="4">
        <f t="shared" si="68"/>
        <v>103.64499232175777</v>
      </c>
      <c r="M467" s="4">
        <f t="shared" si="69"/>
        <v>56833.381964827749</v>
      </c>
      <c r="N467" s="4">
        <f t="shared" si="70"/>
        <v>51822.496160878887</v>
      </c>
      <c r="O467" s="4">
        <f t="shared" si="71"/>
        <v>5010.8858039488623</v>
      </c>
    </row>
    <row r="468" spans="1:15" x14ac:dyDescent="0.25">
      <c r="A468" s="4">
        <f>'Data - SKU Detail'!A457</f>
        <v>10</v>
      </c>
      <c r="B468" s="4">
        <f>'Data - SKU Detail'!B457</f>
        <v>6</v>
      </c>
      <c r="C468" s="4">
        <f>'Data - SKU Detail'!C457</f>
        <v>278.63</v>
      </c>
      <c r="D468" s="4">
        <f>'Data - SKU Detail'!F457</f>
        <v>26839</v>
      </c>
      <c r="E468" s="4">
        <f t="shared" si="63"/>
        <v>55.725999999999999</v>
      </c>
      <c r="F468" s="4">
        <f t="shared" si="64"/>
        <v>849.96268425134213</v>
      </c>
      <c r="G468" s="4">
        <f>'Data - SKU Detail'!G457</f>
        <v>13.487815456579</v>
      </c>
      <c r="H468" s="4">
        <f>'Data - SKU Detail'!H457</f>
        <v>8.4457624309519996</v>
      </c>
      <c r="I468" s="4">
        <f t="shared" si="65"/>
        <v>58.697268546889255</v>
      </c>
      <c r="J468" s="4">
        <f t="shared" si="66"/>
        <v>36.754890893099173</v>
      </c>
      <c r="K468" s="4">
        <f t="shared" si="67"/>
        <v>483.6786106725603</v>
      </c>
      <c r="L468" s="4">
        <f t="shared" si="68"/>
        <v>461.73623301877024</v>
      </c>
      <c r="M468" s="4">
        <f t="shared" si="69"/>
        <v>26953.474258339094</v>
      </c>
      <c r="N468" s="4">
        <f t="shared" si="70"/>
        <v>25730.713321203988</v>
      </c>
      <c r="O468" s="4">
        <f t="shared" si="71"/>
        <v>1222.7609371351064</v>
      </c>
    </row>
    <row r="469" spans="1:15" x14ac:dyDescent="0.25">
      <c r="A469" s="4">
        <f>'Data - SKU Detail'!A458</f>
        <v>10</v>
      </c>
      <c r="B469" s="4">
        <f>'Data - SKU Detail'!B458</f>
        <v>7</v>
      </c>
      <c r="C469" s="4">
        <f>'Data - SKU Detail'!C458</f>
        <v>256.08</v>
      </c>
      <c r="D469" s="4">
        <f>'Data - SKU Detail'!F458</f>
        <v>26597</v>
      </c>
      <c r="E469" s="4">
        <f t="shared" si="63"/>
        <v>51.216000000000001</v>
      </c>
      <c r="F469" s="4">
        <f t="shared" si="64"/>
        <v>882.5902546698768</v>
      </c>
      <c r="G469" s="4">
        <f>'Data - SKU Detail'!G458</f>
        <v>11.7500648055059</v>
      </c>
      <c r="H469" s="4">
        <f>'Data - SKU Detail'!H458</f>
        <v>7.3869520850467998</v>
      </c>
      <c r="I469" s="4">
        <f t="shared" si="65"/>
        <v>51.134797295563239</v>
      </c>
      <c r="J469" s="4">
        <f t="shared" si="66"/>
        <v>32.147082058977894</v>
      </c>
      <c r="K469" s="4">
        <f t="shared" si="67"/>
        <v>492.42992463050166</v>
      </c>
      <c r="L469" s="4">
        <f t="shared" si="68"/>
        <v>473.4422093939163</v>
      </c>
      <c r="M469" s="4">
        <f t="shared" si="69"/>
        <v>25220.291019875775</v>
      </c>
      <c r="N469" s="4">
        <f t="shared" si="70"/>
        <v>24247.816196318818</v>
      </c>
      <c r="O469" s="4">
        <f t="shared" si="71"/>
        <v>972.47482355695684</v>
      </c>
    </row>
    <row r="470" spans="1:15" x14ac:dyDescent="0.25">
      <c r="A470" s="4">
        <f>'Data - SKU Detail'!A459</f>
        <v>10</v>
      </c>
      <c r="B470" s="4">
        <f>'Data - SKU Detail'!B459</f>
        <v>8</v>
      </c>
      <c r="C470" s="4">
        <f>'Data - SKU Detail'!C459</f>
        <v>85.49</v>
      </c>
      <c r="D470" s="4">
        <f>'Data - SKU Detail'!F459</f>
        <v>35103</v>
      </c>
      <c r="E470" s="4">
        <f t="shared" si="63"/>
        <v>17.097999999999999</v>
      </c>
      <c r="F470" s="4">
        <f t="shared" si="64"/>
        <v>1754.8705678837298</v>
      </c>
      <c r="G470" s="4">
        <f>'Data - SKU Detail'!G459</f>
        <v>17.504145983524001</v>
      </c>
      <c r="H470" s="4">
        <f>'Data - SKU Detail'!H459</f>
        <v>11.007595843482999</v>
      </c>
      <c r="I470" s="4">
        <f t="shared" si="65"/>
        <v>76.175831496693604</v>
      </c>
      <c r="J470" s="4">
        <f t="shared" si="66"/>
        <v>47.903666191205588</v>
      </c>
      <c r="K470" s="4">
        <f t="shared" si="67"/>
        <v>953.6111154385585</v>
      </c>
      <c r="L470" s="4">
        <f t="shared" si="68"/>
        <v>925.33895013307051</v>
      </c>
      <c r="M470" s="4">
        <f t="shared" si="69"/>
        <v>16304.842851768472</v>
      </c>
      <c r="N470" s="4">
        <f t="shared" si="70"/>
        <v>15821.445369375238</v>
      </c>
      <c r="O470" s="4">
        <f t="shared" si="71"/>
        <v>483.39748239323308</v>
      </c>
    </row>
    <row r="471" spans="1:15" x14ac:dyDescent="0.25">
      <c r="A471" s="4">
        <f>'Data - SKU Detail'!A460</f>
        <v>10</v>
      </c>
      <c r="B471" s="4">
        <f>'Data - SKU Detail'!B460</f>
        <v>9</v>
      </c>
      <c r="C471" s="4">
        <f>'Data - SKU Detail'!C460</f>
        <v>303.16000000000003</v>
      </c>
      <c r="D471" s="4">
        <f>'Data - SKU Detail'!F460</f>
        <v>23519</v>
      </c>
      <c r="E471" s="4">
        <f t="shared" si="63"/>
        <v>60.632000000000005</v>
      </c>
      <c r="F471" s="4">
        <f t="shared" si="64"/>
        <v>762.78845023893609</v>
      </c>
      <c r="G471" s="4">
        <f>'Data - SKU Detail'!G460</f>
        <v>13.2191414226576</v>
      </c>
      <c r="H471" s="4">
        <f>'Data - SKU Detail'!H460</f>
        <v>9.4437934667315897</v>
      </c>
      <c r="I471" s="4">
        <f t="shared" si="65"/>
        <v>57.528033100909902</v>
      </c>
      <c r="J471" s="4">
        <f t="shared" si="66"/>
        <v>41.098195849626443</v>
      </c>
      <c r="K471" s="4">
        <f t="shared" si="67"/>
        <v>438.92225822037796</v>
      </c>
      <c r="L471" s="4">
        <f t="shared" si="68"/>
        <v>422.4924209690945</v>
      </c>
      <c r="M471" s="4">
        <f t="shared" si="69"/>
        <v>26612.734360417959</v>
      </c>
      <c r="N471" s="4">
        <f t="shared" si="70"/>
        <v>25616.560468198139</v>
      </c>
      <c r="O471" s="4">
        <f t="shared" si="71"/>
        <v>996.17389221982012</v>
      </c>
    </row>
    <row r="472" spans="1:15" x14ac:dyDescent="0.25">
      <c r="A472" s="4">
        <f>'Data - SKU Detail'!A461</f>
        <v>10</v>
      </c>
      <c r="B472" s="4">
        <f>'Data - SKU Detail'!B461</f>
        <v>10</v>
      </c>
      <c r="C472" s="4">
        <f>'Data - SKU Detail'!C461</f>
        <v>93.02</v>
      </c>
      <c r="D472" s="4">
        <f>'Data - SKU Detail'!F461</f>
        <v>33563</v>
      </c>
      <c r="E472" s="4">
        <f t="shared" si="63"/>
        <v>18.603999999999999</v>
      </c>
      <c r="F472" s="4">
        <f t="shared" si="64"/>
        <v>1645.0263186057578</v>
      </c>
      <c r="G472" s="4">
        <f>'Data - SKU Detail'!G461</f>
        <v>15.0241563731637</v>
      </c>
      <c r="H472" s="4">
        <f>'Data - SKU Detail'!H461</f>
        <v>10.4999696861624</v>
      </c>
      <c r="I472" s="4">
        <f t="shared" si="65"/>
        <v>65.383230083852553</v>
      </c>
      <c r="J472" s="4">
        <f t="shared" si="66"/>
        <v>45.69454129817936</v>
      </c>
      <c r="K472" s="4">
        <f t="shared" si="67"/>
        <v>887.89638938673147</v>
      </c>
      <c r="L472" s="4">
        <f t="shared" si="68"/>
        <v>868.20770060105826</v>
      </c>
      <c r="M472" s="4">
        <f t="shared" si="69"/>
        <v>16518.424428150753</v>
      </c>
      <c r="N472" s="4">
        <f t="shared" si="70"/>
        <v>16152.136061982088</v>
      </c>
      <c r="O472" s="4">
        <f t="shared" si="71"/>
        <v>366.28836616866465</v>
      </c>
    </row>
    <row r="473" spans="1:15" x14ac:dyDescent="0.25">
      <c r="A473" s="4">
        <f>'Data - SKU Detail'!A462</f>
        <v>10</v>
      </c>
      <c r="B473" s="4">
        <f>'Data - SKU Detail'!B462</f>
        <v>11</v>
      </c>
      <c r="C473" s="4">
        <f>'Data - SKU Detail'!C462</f>
        <v>101.21</v>
      </c>
      <c r="D473" s="4">
        <f>'Data - SKU Detail'!F462</f>
        <v>31692</v>
      </c>
      <c r="E473" s="4">
        <f t="shared" si="63"/>
        <v>20.242000000000001</v>
      </c>
      <c r="F473" s="4">
        <f t="shared" si="64"/>
        <v>1532.476215622117</v>
      </c>
      <c r="G473" s="4">
        <f>'Data - SKU Detail'!G462</f>
        <v>13.352774387779199</v>
      </c>
      <c r="H473" s="4">
        <f>'Data - SKU Detail'!H462</f>
        <v>9.8973028278587698</v>
      </c>
      <c r="I473" s="4">
        <f t="shared" si="65"/>
        <v>58.109586879259787</v>
      </c>
      <c r="J473" s="4">
        <f t="shared" si="66"/>
        <v>43.071811283816409</v>
      </c>
      <c r="K473" s="4">
        <f t="shared" si="67"/>
        <v>824.34769469031835</v>
      </c>
      <c r="L473" s="4">
        <f t="shared" si="68"/>
        <v>809.30991909487489</v>
      </c>
      <c r="M473" s="4">
        <f t="shared" si="69"/>
        <v>16686.446035921424</v>
      </c>
      <c r="N473" s="4">
        <f t="shared" si="70"/>
        <v>16382.051382318457</v>
      </c>
      <c r="O473" s="4">
        <f t="shared" si="71"/>
        <v>304.39465360296708</v>
      </c>
    </row>
    <row r="474" spans="1:15" x14ac:dyDescent="0.25">
      <c r="A474" s="4">
        <f>'Data - SKU Detail'!A463</f>
        <v>10</v>
      </c>
      <c r="B474" s="4">
        <f>'Data - SKU Detail'!B463</f>
        <v>12</v>
      </c>
      <c r="C474" s="4">
        <f>'Data - SKU Detail'!C463</f>
        <v>110.12</v>
      </c>
      <c r="D474" s="4">
        <f>'Data - SKU Detail'!F463</f>
        <v>31862</v>
      </c>
      <c r="E474" s="4">
        <f t="shared" si="63"/>
        <v>22.024000000000001</v>
      </c>
      <c r="F474" s="4">
        <f t="shared" si="64"/>
        <v>1473.1061647456697</v>
      </c>
      <c r="G474" s="4">
        <f>'Data - SKU Detail'!G463</f>
        <v>18.524476647648601</v>
      </c>
      <c r="H474" s="4">
        <f>'Data - SKU Detail'!H463</f>
        <v>11.104925147445799</v>
      </c>
      <c r="I474" s="4">
        <f t="shared" si="65"/>
        <v>80.616181617997668</v>
      </c>
      <c r="J474" s="4">
        <f t="shared" si="66"/>
        <v>48.327231023522423</v>
      </c>
      <c r="K474" s="4">
        <f t="shared" si="67"/>
        <v>817.16926399083252</v>
      </c>
      <c r="L474" s="4">
        <f t="shared" si="68"/>
        <v>784.88031339635734</v>
      </c>
      <c r="M474" s="4">
        <f t="shared" si="69"/>
        <v>17997.335870134095</v>
      </c>
      <c r="N474" s="4">
        <f t="shared" si="70"/>
        <v>17286.204022241374</v>
      </c>
      <c r="O474" s="4">
        <f t="shared" si="71"/>
        <v>711.13184789272054</v>
      </c>
    </row>
    <row r="475" spans="1:15" x14ac:dyDescent="0.25">
      <c r="A475" s="4">
        <f>'Data - SKU Detail'!A464</f>
        <v>10</v>
      </c>
      <c r="B475" s="4">
        <f>'Data - SKU Detail'!B464</f>
        <v>13</v>
      </c>
      <c r="C475" s="4">
        <f>'Data - SKU Detail'!C464</f>
        <v>47.35</v>
      </c>
      <c r="D475" s="4">
        <f>'Data - SKU Detail'!F464</f>
        <v>38523</v>
      </c>
      <c r="E475" s="4">
        <f t="shared" si="63"/>
        <v>9.4700000000000006</v>
      </c>
      <c r="F475" s="4">
        <f t="shared" si="64"/>
        <v>2470.191883410253</v>
      </c>
      <c r="G475" s="4">
        <f>'Data - SKU Detail'!G464</f>
        <v>17.376782787060101</v>
      </c>
      <c r="H475" s="4">
        <f>'Data - SKU Detail'!H464</f>
        <v>9.9363845779919302</v>
      </c>
      <c r="I475" s="4">
        <f t="shared" si="65"/>
        <v>75.621562959294138</v>
      </c>
      <c r="J475" s="4">
        <f t="shared" si="66"/>
        <v>43.241890122026604</v>
      </c>
      <c r="K475" s="4">
        <f t="shared" si="67"/>
        <v>1310.7175046644206</v>
      </c>
      <c r="L475" s="4">
        <f t="shared" si="68"/>
        <v>1278.3378318271532</v>
      </c>
      <c r="M475" s="4">
        <f t="shared" si="69"/>
        <v>12412.494769172064</v>
      </c>
      <c r="N475" s="4">
        <f t="shared" si="70"/>
        <v>12105.859267403142</v>
      </c>
      <c r="O475" s="4">
        <f t="shared" si="71"/>
        <v>306.63550176892204</v>
      </c>
    </row>
    <row r="476" spans="1:15" x14ac:dyDescent="0.25">
      <c r="A476" s="4">
        <f>'Data - SKU Detail'!A465</f>
        <v>10</v>
      </c>
      <c r="B476" s="4">
        <f>'Data - SKU Detail'!B465</f>
        <v>14</v>
      </c>
      <c r="C476" s="4">
        <f>'Data - SKU Detail'!C465</f>
        <v>182.71</v>
      </c>
      <c r="D476" s="4">
        <f>'Data - SKU Detail'!F465</f>
        <v>26873</v>
      </c>
      <c r="E476" s="4">
        <f t="shared" si="63"/>
        <v>36.542000000000002</v>
      </c>
      <c r="F476" s="4">
        <f t="shared" si="64"/>
        <v>1050.2859333735094</v>
      </c>
      <c r="G476" s="4">
        <f>'Data - SKU Detail'!G465</f>
        <v>12.585090223706899</v>
      </c>
      <c r="H476" s="4">
        <f>'Data - SKU Detail'!H465</f>
        <v>8.44644494072028</v>
      </c>
      <c r="I476" s="4">
        <f t="shared" si="65"/>
        <v>54.768722401775676</v>
      </c>
      <c r="J476" s="4">
        <f t="shared" si="66"/>
        <v>36.757861089368809</v>
      </c>
      <c r="K476" s="4">
        <f t="shared" si="67"/>
        <v>579.91168908853035</v>
      </c>
      <c r="L476" s="4">
        <f t="shared" si="68"/>
        <v>561.90082777612349</v>
      </c>
      <c r="M476" s="4">
        <f t="shared" si="69"/>
        <v>21191.132942673077</v>
      </c>
      <c r="N476" s="4">
        <f t="shared" si="70"/>
        <v>20532.980048595105</v>
      </c>
      <c r="O476" s="4">
        <f t="shared" si="71"/>
        <v>658.15289407797172</v>
      </c>
    </row>
    <row r="477" spans="1:15" x14ac:dyDescent="0.25">
      <c r="A477" s="4">
        <f>'Data - SKU Detail'!A466</f>
        <v>10</v>
      </c>
      <c r="B477" s="4">
        <f>'Data - SKU Detail'!B466</f>
        <v>15</v>
      </c>
      <c r="C477" s="4">
        <f>'Data - SKU Detail'!C466</f>
        <v>40</v>
      </c>
      <c r="D477" s="4">
        <f>'Data - SKU Detail'!F466</f>
        <v>40086</v>
      </c>
      <c r="E477" s="4">
        <f t="shared" si="63"/>
        <v>8</v>
      </c>
      <c r="F477" s="4">
        <f t="shared" si="64"/>
        <v>2741.5552155665223</v>
      </c>
      <c r="G477" s="4">
        <f>'Data - SKU Detail'!G466</f>
        <v>17.694519897425401</v>
      </c>
      <c r="H477" s="4">
        <f>'Data - SKU Detail'!H466</f>
        <v>11.4708824386214</v>
      </c>
      <c r="I477" s="4">
        <f t="shared" si="65"/>
        <v>77.004314714347814</v>
      </c>
      <c r="J477" s="4">
        <f t="shared" si="66"/>
        <v>49.919830912361256</v>
      </c>
      <c r="K477" s="4">
        <f t="shared" si="67"/>
        <v>1447.781922497609</v>
      </c>
      <c r="L477" s="4">
        <f t="shared" si="68"/>
        <v>1420.6974386956224</v>
      </c>
      <c r="M477" s="4">
        <f t="shared" si="69"/>
        <v>11582.255379980872</v>
      </c>
      <c r="N477" s="4">
        <f t="shared" si="70"/>
        <v>11365.579509564979</v>
      </c>
      <c r="O477" s="4">
        <f t="shared" si="71"/>
        <v>216.67587041589286</v>
      </c>
    </row>
    <row r="478" spans="1:15" x14ac:dyDescent="0.25">
      <c r="A478" s="4">
        <f>'Data - SKU Detail'!A467</f>
        <v>10</v>
      </c>
      <c r="B478" s="4">
        <f>'Data - SKU Detail'!B467</f>
        <v>16</v>
      </c>
      <c r="C478" s="4">
        <f>'Data - SKU Detail'!C467</f>
        <v>1506.73</v>
      </c>
      <c r="D478" s="4">
        <f>'Data - SKU Detail'!F467</f>
        <v>11773</v>
      </c>
      <c r="E478" s="4">
        <f t="shared" si="63"/>
        <v>301.346</v>
      </c>
      <c r="F478" s="4">
        <f t="shared" si="64"/>
        <v>242.07864845292514</v>
      </c>
      <c r="G478" s="4">
        <f>'Data - SKU Detail'!G467</f>
        <v>8.5706849892468995</v>
      </c>
      <c r="H478" s="4">
        <f>'Data - SKU Detail'!H467</f>
        <v>5.7191560224667803</v>
      </c>
      <c r="I478" s="4">
        <f t="shared" si="65"/>
        <v>37.29853808158613</v>
      </c>
      <c r="J478" s="4">
        <f t="shared" si="66"/>
        <v>24.889044337313095</v>
      </c>
      <c r="K478" s="4">
        <f t="shared" si="67"/>
        <v>158.3378623080487</v>
      </c>
      <c r="L478" s="4">
        <f t="shared" si="68"/>
        <v>145.92836856377568</v>
      </c>
      <c r="M478" s="4">
        <f t="shared" si="69"/>
        <v>47714.481455081244</v>
      </c>
      <c r="N478" s="4">
        <f t="shared" si="70"/>
        <v>43974.930153219546</v>
      </c>
      <c r="O478" s="4">
        <f t="shared" si="71"/>
        <v>3739.5513018616984</v>
      </c>
    </row>
    <row r="479" spans="1:15" x14ac:dyDescent="0.25">
      <c r="A479" s="4">
        <f>'Data - SKU Detail'!A468</f>
        <v>10</v>
      </c>
      <c r="B479" s="4">
        <f>'Data - SKU Detail'!B468</f>
        <v>17</v>
      </c>
      <c r="C479" s="4">
        <f>'Data - SKU Detail'!C468</f>
        <v>834.61</v>
      </c>
      <c r="D479" s="4">
        <f>'Data - SKU Detail'!F468</f>
        <v>15065</v>
      </c>
      <c r="E479" s="4">
        <f t="shared" si="63"/>
        <v>166.92200000000003</v>
      </c>
      <c r="F479" s="4">
        <f t="shared" si="64"/>
        <v>367.93695317877462</v>
      </c>
      <c r="G479" s="4">
        <f>'Data - SKU Detail'!G468</f>
        <v>8.2467037240627299</v>
      </c>
      <c r="H479" s="4">
        <f>'Data - SKU Detail'!H468</f>
        <v>5.6997351820397499</v>
      </c>
      <c r="I479" s="4">
        <f t="shared" si="65"/>
        <v>35.888612553772049</v>
      </c>
      <c r="J479" s="4">
        <f t="shared" si="66"/>
        <v>24.80452729379174</v>
      </c>
      <c r="K479" s="4">
        <f t="shared" si="67"/>
        <v>219.85708914315936</v>
      </c>
      <c r="L479" s="4">
        <f t="shared" si="68"/>
        <v>208.77300388317906</v>
      </c>
      <c r="M479" s="4">
        <f t="shared" si="69"/>
        <v>36698.98503395445</v>
      </c>
      <c r="N479" s="4">
        <f t="shared" si="70"/>
        <v>34848.807354188022</v>
      </c>
      <c r="O479" s="4">
        <f t="shared" si="71"/>
        <v>1850.1776797664279</v>
      </c>
    </row>
    <row r="480" spans="1:15" x14ac:dyDescent="0.25">
      <c r="A480" s="4">
        <f>'Data - SKU Detail'!A469</f>
        <v>10</v>
      </c>
      <c r="B480" s="4">
        <f>'Data - SKU Detail'!B469</f>
        <v>18</v>
      </c>
      <c r="C480" s="4">
        <f>'Data - SKU Detail'!C469</f>
        <v>51.52</v>
      </c>
      <c r="D480" s="4">
        <f>'Data - SKU Detail'!F469</f>
        <v>38395</v>
      </c>
      <c r="E480" s="4">
        <f t="shared" si="63"/>
        <v>10.304000000000002</v>
      </c>
      <c r="F480" s="4">
        <f t="shared" si="64"/>
        <v>2364.177285892586</v>
      </c>
      <c r="G480" s="4">
        <f>'Data - SKU Detail'!G469</f>
        <v>15.137666559850301</v>
      </c>
      <c r="H480" s="4">
        <f>'Data - SKU Detail'!H469</f>
        <v>9.08068184652066</v>
      </c>
      <c r="I480" s="4">
        <f t="shared" si="65"/>
        <v>65.877212073167271</v>
      </c>
      <c r="J480" s="4">
        <f t="shared" si="66"/>
        <v>39.517979961246922</v>
      </c>
      <c r="K480" s="4">
        <f t="shared" si="67"/>
        <v>1247.9658550194604</v>
      </c>
      <c r="L480" s="4">
        <f t="shared" si="68"/>
        <v>1221.60662290754</v>
      </c>
      <c r="M480" s="4">
        <f t="shared" si="69"/>
        <v>12859.040170120523</v>
      </c>
      <c r="N480" s="4">
        <f t="shared" si="70"/>
        <v>12587.434642439295</v>
      </c>
      <c r="O480" s="4">
        <f t="shared" si="71"/>
        <v>271.60552768122761</v>
      </c>
    </row>
    <row r="481" spans="1:15" x14ac:dyDescent="0.25">
      <c r="A481" s="4">
        <f>'Data - SKU Detail'!A470</f>
        <v>10</v>
      </c>
      <c r="B481" s="4">
        <f>'Data - SKU Detail'!B470</f>
        <v>19</v>
      </c>
      <c r="C481" s="4">
        <f>'Data - SKU Detail'!C470</f>
        <v>547.29999999999995</v>
      </c>
      <c r="D481" s="4">
        <f>'Data - SKU Detail'!F470</f>
        <v>18557</v>
      </c>
      <c r="E481" s="4">
        <f t="shared" si="63"/>
        <v>109.46</v>
      </c>
      <c r="F481" s="4">
        <f t="shared" si="64"/>
        <v>504.28005496469018</v>
      </c>
      <c r="G481" s="4">
        <f>'Data - SKU Detail'!G470</f>
        <v>11.7677801553648</v>
      </c>
      <c r="H481" s="4">
        <f>'Data - SKU Detail'!H470</f>
        <v>7.1895240778910399</v>
      </c>
      <c r="I481" s="4">
        <f t="shared" si="65"/>
        <v>51.211892259637857</v>
      </c>
      <c r="J481" s="4">
        <f t="shared" si="66"/>
        <v>31.287900318835813</v>
      </c>
      <c r="K481" s="4">
        <f t="shared" si="67"/>
        <v>303.35191974198295</v>
      </c>
      <c r="L481" s="4">
        <f t="shared" si="68"/>
        <v>283.42792780118089</v>
      </c>
      <c r="M481" s="4">
        <f t="shared" si="69"/>
        <v>33204.90113495745</v>
      </c>
      <c r="N481" s="4">
        <f t="shared" si="70"/>
        <v>31024.020977117259</v>
      </c>
      <c r="O481" s="4">
        <f t="shared" si="71"/>
        <v>2180.8801578401908</v>
      </c>
    </row>
    <row r="482" spans="1:15" x14ac:dyDescent="0.25">
      <c r="A482" s="4">
        <f>'Data - SKU Detail'!A471</f>
        <v>10</v>
      </c>
      <c r="B482" s="4">
        <f>'Data - SKU Detail'!B471</f>
        <v>20</v>
      </c>
      <c r="C482" s="4">
        <f>'Data - SKU Detail'!C471</f>
        <v>424.89</v>
      </c>
      <c r="D482" s="4">
        <f>'Data - SKU Detail'!F471</f>
        <v>21884</v>
      </c>
      <c r="E482" s="4">
        <f t="shared" si="63"/>
        <v>84.978000000000009</v>
      </c>
      <c r="F482" s="4">
        <f t="shared" si="64"/>
        <v>621.52088924950408</v>
      </c>
      <c r="G482" s="4">
        <f>'Data - SKU Detail'!G471</f>
        <v>11.8140301813419</v>
      </c>
      <c r="H482" s="4">
        <f>'Data - SKU Detail'!H471</f>
        <v>7.7426681077826096</v>
      </c>
      <c r="I482" s="4">
        <f t="shared" si="65"/>
        <v>51.413166528537658</v>
      </c>
      <c r="J482" s="4">
        <f t="shared" si="66"/>
        <v>33.695113241653267</v>
      </c>
      <c r="K482" s="4">
        <f t="shared" si="67"/>
        <v>362.1736111532897</v>
      </c>
      <c r="L482" s="4">
        <f t="shared" si="68"/>
        <v>344.45555786640529</v>
      </c>
      <c r="M482" s="4">
        <f t="shared" si="69"/>
        <v>30776.789128584256</v>
      </c>
      <c r="N482" s="4">
        <f t="shared" si="70"/>
        <v>29271.14439637139</v>
      </c>
      <c r="O482" s="4">
        <f t="shared" si="71"/>
        <v>1505.6447322128661</v>
      </c>
    </row>
    <row r="483" spans="1:15" x14ac:dyDescent="0.25">
      <c r="A483" s="4">
        <f>'Data - SKU Detail'!A472</f>
        <v>10</v>
      </c>
      <c r="B483" s="4">
        <f>'Data - SKU Detail'!B472</f>
        <v>21</v>
      </c>
      <c r="C483" s="4">
        <f>'Data - SKU Detail'!C472</f>
        <v>647.92999999999995</v>
      </c>
      <c r="D483" s="4">
        <f>'Data - SKU Detail'!F472</f>
        <v>18527</v>
      </c>
      <c r="E483" s="4">
        <f t="shared" si="63"/>
        <v>129.58599999999998</v>
      </c>
      <c r="F483" s="4">
        <f t="shared" si="64"/>
        <v>463.09398281295802</v>
      </c>
      <c r="G483" s="4">
        <f>'Data - SKU Detail'!G472</f>
        <v>10.0916014808907</v>
      </c>
      <c r="H483" s="4">
        <f>'Data - SKU Detail'!H472</f>
        <v>7.0092944722503896</v>
      </c>
      <c r="I483" s="4">
        <f t="shared" si="65"/>
        <v>43.917374470236716</v>
      </c>
      <c r="J483" s="4">
        <f t="shared" si="66"/>
        <v>30.503563848897752</v>
      </c>
      <c r="K483" s="4">
        <f t="shared" si="67"/>
        <v>275.4643658767157</v>
      </c>
      <c r="L483" s="4">
        <f t="shared" si="68"/>
        <v>262.05055525537676</v>
      </c>
      <c r="M483" s="4">
        <f t="shared" si="69"/>
        <v>35696.325316500079</v>
      </c>
      <c r="N483" s="4">
        <f t="shared" si="70"/>
        <v>33958.083253323246</v>
      </c>
      <c r="O483" s="4">
        <f t="shared" si="71"/>
        <v>1738.2420631768327</v>
      </c>
    </row>
    <row r="484" spans="1:15" x14ac:dyDescent="0.25">
      <c r="A484" s="4">
        <f>'Data - SKU Detail'!A473</f>
        <v>10</v>
      </c>
      <c r="B484" s="4">
        <f>'Data - SKU Detail'!B473</f>
        <v>22</v>
      </c>
      <c r="C484" s="4">
        <f>'Data - SKU Detail'!C473</f>
        <v>72.209999999999994</v>
      </c>
      <c r="D484" s="4">
        <f>'Data - SKU Detail'!F473</f>
        <v>36787</v>
      </c>
      <c r="E484" s="4">
        <f t="shared" si="63"/>
        <v>14.442</v>
      </c>
      <c r="F484" s="4">
        <f t="shared" si="64"/>
        <v>1954.6956449523063</v>
      </c>
      <c r="G484" s="4">
        <f>'Data - SKU Detail'!G473</f>
        <v>15.7461346017769</v>
      </c>
      <c r="H484" s="4">
        <f>'Data - SKU Detail'!H473</f>
        <v>10.349541960066199</v>
      </c>
      <c r="I484" s="4">
        <f t="shared" si="65"/>
        <v>68.525188105619918</v>
      </c>
      <c r="J484" s="4">
        <f t="shared" si="66"/>
        <v>45.03989884225372</v>
      </c>
      <c r="K484" s="4">
        <f t="shared" si="67"/>
        <v>1045.8730105817731</v>
      </c>
      <c r="L484" s="4">
        <f t="shared" si="68"/>
        <v>1022.3877213184069</v>
      </c>
      <c r="M484" s="4">
        <f t="shared" si="69"/>
        <v>15104.498018821967</v>
      </c>
      <c r="N484" s="4">
        <f t="shared" si="70"/>
        <v>14765.323471280431</v>
      </c>
      <c r="O484" s="4">
        <f t="shared" si="71"/>
        <v>339.1745475415355</v>
      </c>
    </row>
    <row r="485" spans="1:15" x14ac:dyDescent="0.25">
      <c r="A485" s="4">
        <f>'Data - SKU Detail'!A474</f>
        <v>10</v>
      </c>
      <c r="B485" s="4">
        <f>'Data - SKU Detail'!B474</f>
        <v>23</v>
      </c>
      <c r="C485" s="4">
        <f>'Data - SKU Detail'!C474</f>
        <v>1075.06</v>
      </c>
      <c r="D485" s="4">
        <f>'Data - SKU Detail'!F474</f>
        <v>13509</v>
      </c>
      <c r="E485" s="4">
        <f t="shared" si="63"/>
        <v>215.012</v>
      </c>
      <c r="F485" s="4">
        <f t="shared" si="64"/>
        <v>306.99116779261476</v>
      </c>
      <c r="G485" s="4">
        <f>'Data - SKU Detail'!G474</f>
        <v>8.3843627913577699</v>
      </c>
      <c r="H485" s="4">
        <f>'Data - SKU Detail'!H474</f>
        <v>6.0612522365837904</v>
      </c>
      <c r="I485" s="4">
        <f t="shared" si="65"/>
        <v>36.487687420042555</v>
      </c>
      <c r="J485" s="4">
        <f t="shared" si="66"/>
        <v>26.37780383387825</v>
      </c>
      <c r="K485" s="4">
        <f t="shared" si="67"/>
        <v>189.98327131634994</v>
      </c>
      <c r="L485" s="4">
        <f t="shared" si="68"/>
        <v>179.87338773018564</v>
      </c>
      <c r="M485" s="4">
        <f t="shared" si="69"/>
        <v>40848.683132271035</v>
      </c>
      <c r="N485" s="4">
        <f t="shared" si="70"/>
        <v>38674.936842642674</v>
      </c>
      <c r="O485" s="4">
        <f t="shared" si="71"/>
        <v>2173.7462896283614</v>
      </c>
    </row>
    <row r="486" spans="1:15" x14ac:dyDescent="0.25">
      <c r="A486" s="4">
        <f>'Data - SKU Detail'!A475</f>
        <v>10</v>
      </c>
      <c r="B486" s="4">
        <f>'Data - SKU Detail'!B475</f>
        <v>24</v>
      </c>
      <c r="C486" s="4">
        <f>'Data - SKU Detail'!C475</f>
        <v>141.85</v>
      </c>
      <c r="D486" s="4">
        <f>'Data - SKU Detail'!F475</f>
        <v>30040</v>
      </c>
      <c r="E486" s="4">
        <f t="shared" si="63"/>
        <v>28.37</v>
      </c>
      <c r="F486" s="4">
        <f t="shared" si="64"/>
        <v>1260.2767542712047</v>
      </c>
      <c r="G486" s="4">
        <f>'Data - SKU Detail'!G475</f>
        <v>14.108260008866599</v>
      </c>
      <c r="H486" s="4">
        <f>'Data - SKU Detail'!H475</f>
        <v>9.5525170920389098</v>
      </c>
      <c r="I486" s="4">
        <f t="shared" si="65"/>
        <v>61.39736483908132</v>
      </c>
      <c r="J486" s="4">
        <f t="shared" si="66"/>
        <v>41.571347328648365</v>
      </c>
      <c r="K486" s="4">
        <f t="shared" si="67"/>
        <v>691.53574197468367</v>
      </c>
      <c r="L486" s="4">
        <f t="shared" si="68"/>
        <v>671.70972446425071</v>
      </c>
      <c r="M486" s="4">
        <f t="shared" si="69"/>
        <v>19618.868999821778</v>
      </c>
      <c r="N486" s="4">
        <f t="shared" si="70"/>
        <v>19056.404883050793</v>
      </c>
      <c r="O486" s="4">
        <f t="shared" si="71"/>
        <v>562.46411677098513</v>
      </c>
    </row>
    <row r="487" spans="1:15" x14ac:dyDescent="0.25">
      <c r="A487" s="4">
        <f>'Data - SKU Detail'!A476</f>
        <v>10</v>
      </c>
      <c r="B487" s="4">
        <f>'Data - SKU Detail'!B476</f>
        <v>25</v>
      </c>
      <c r="C487" s="4">
        <f>'Data - SKU Detail'!C476</f>
        <v>56.06</v>
      </c>
      <c r="D487" s="4">
        <f>'Data - SKU Detail'!F476</f>
        <v>36601</v>
      </c>
      <c r="E487" s="4">
        <f t="shared" si="63"/>
        <v>11.212000000000002</v>
      </c>
      <c r="F487" s="4">
        <f t="shared" si="64"/>
        <v>2212.8427886494592</v>
      </c>
      <c r="G487" s="4">
        <f>'Data - SKU Detail'!G476</f>
        <v>17.604944360436502</v>
      </c>
      <c r="H487" s="4">
        <f>'Data - SKU Detail'!H476</f>
        <v>11.211811858531799</v>
      </c>
      <c r="I487" s="4">
        <f t="shared" si="65"/>
        <v>76.614493296135521</v>
      </c>
      <c r="J487" s="4">
        <f t="shared" si="66"/>
        <v>48.792388483965617</v>
      </c>
      <c r="K487" s="4">
        <f t="shared" si="67"/>
        <v>1183.0358876208652</v>
      </c>
      <c r="L487" s="4">
        <f t="shared" si="68"/>
        <v>1155.2137828086952</v>
      </c>
      <c r="M487" s="4">
        <f t="shared" si="69"/>
        <v>13264.198372005143</v>
      </c>
      <c r="N487" s="4">
        <f t="shared" si="70"/>
        <v>12952.256932851093</v>
      </c>
      <c r="O487" s="4">
        <f t="shared" si="71"/>
        <v>311.94143915405039</v>
      </c>
    </row>
    <row r="488" spans="1:15" x14ac:dyDescent="0.25">
      <c r="A488" s="4">
        <f>'Data - SKU Detail'!A477</f>
        <v>10</v>
      </c>
      <c r="B488" s="4">
        <f>'Data - SKU Detail'!B477</f>
        <v>26</v>
      </c>
      <c r="C488" s="4">
        <f>'Data - SKU Detail'!C477</f>
        <v>390.5</v>
      </c>
      <c r="D488" s="4">
        <f>'Data - SKU Detail'!F477</f>
        <v>22033</v>
      </c>
      <c r="E488" s="4">
        <f t="shared" si="63"/>
        <v>78.100000000000009</v>
      </c>
      <c r="F488" s="4">
        <f t="shared" si="64"/>
        <v>650.51442265679782</v>
      </c>
      <c r="G488" s="4">
        <f>'Data - SKU Detail'!G477</f>
        <v>12.966880520940199</v>
      </c>
      <c r="H488" s="4">
        <f>'Data - SKU Detail'!H477</f>
        <v>8.4186502269348509</v>
      </c>
      <c r="I488" s="4">
        <f t="shared" si="65"/>
        <v>56.43022553231922</v>
      </c>
      <c r="J488" s="4">
        <f t="shared" si="66"/>
        <v>36.636902007114202</v>
      </c>
      <c r="K488" s="4">
        <f t="shared" si="67"/>
        <v>381.68743686071815</v>
      </c>
      <c r="L488" s="4">
        <f t="shared" si="68"/>
        <v>361.89411333551311</v>
      </c>
      <c r="M488" s="4">
        <f t="shared" si="69"/>
        <v>29809.78881882209</v>
      </c>
      <c r="N488" s="4">
        <f t="shared" si="70"/>
        <v>28263.930251503578</v>
      </c>
      <c r="O488" s="4">
        <f t="shared" si="71"/>
        <v>1545.8585673185116</v>
      </c>
    </row>
    <row r="489" spans="1:15" x14ac:dyDescent="0.25">
      <c r="A489" s="4">
        <f>'Data - SKU Detail'!A478</f>
        <v>10</v>
      </c>
      <c r="B489" s="4">
        <f>'Data - SKU Detail'!B478</f>
        <v>27</v>
      </c>
      <c r="C489" s="4">
        <f>'Data - SKU Detail'!C478</f>
        <v>1639.41</v>
      </c>
      <c r="D489" s="4">
        <f>'Data - SKU Detail'!F478</f>
        <v>9930</v>
      </c>
      <c r="E489" s="4">
        <f t="shared" si="63"/>
        <v>327.88200000000006</v>
      </c>
      <c r="F489" s="4">
        <f t="shared" si="64"/>
        <v>213.13828454802191</v>
      </c>
      <c r="G489" s="4">
        <f>'Data - SKU Detail'!G478</f>
        <v>6.8860078880651798</v>
      </c>
      <c r="H489" s="4">
        <f>'Data - SKU Detail'!H478</f>
        <v>4.9974254861546701</v>
      </c>
      <c r="I489" s="4">
        <f t="shared" si="65"/>
        <v>29.967036213014502</v>
      </c>
      <c r="J489" s="4">
        <f t="shared" si="66"/>
        <v>21.748164241141669</v>
      </c>
      <c r="K489" s="4">
        <f t="shared" si="67"/>
        <v>136.53617848702547</v>
      </c>
      <c r="L489" s="4">
        <f t="shared" si="68"/>
        <v>128.31730651515264</v>
      </c>
      <c r="M489" s="4">
        <f t="shared" si="69"/>
        <v>44767.755274682895</v>
      </c>
      <c r="N489" s="4">
        <f t="shared" si="70"/>
        <v>42072.935094801287</v>
      </c>
      <c r="O489" s="4">
        <f t="shared" si="71"/>
        <v>2694.8201798816081</v>
      </c>
    </row>
    <row r="490" spans="1:15" x14ac:dyDescent="0.25">
      <c r="A490" s="4">
        <f>'Data - SKU Detail'!A479</f>
        <v>10</v>
      </c>
      <c r="B490" s="4">
        <f>'Data - SKU Detail'!B479</f>
        <v>28</v>
      </c>
      <c r="C490" s="4">
        <f>'Data - SKU Detail'!C479</f>
        <v>43.52</v>
      </c>
      <c r="D490" s="4">
        <f>'Data - SKU Detail'!F479</f>
        <v>40277</v>
      </c>
      <c r="E490" s="4">
        <f t="shared" si="63"/>
        <v>8.7040000000000006</v>
      </c>
      <c r="F490" s="4">
        <f t="shared" si="64"/>
        <v>2634.6003540831944</v>
      </c>
      <c r="G490" s="4">
        <f>'Data - SKU Detail'!G479</f>
        <v>14.9839339027859</v>
      </c>
      <c r="H490" s="4">
        <f>'Data - SKU Detail'!H479</f>
        <v>10.271813768161699</v>
      </c>
      <c r="I490" s="4">
        <f t="shared" si="65"/>
        <v>65.208186975279062</v>
      </c>
      <c r="J490" s="4">
        <f t="shared" si="66"/>
        <v>44.701635572818404</v>
      </c>
      <c r="K490" s="4">
        <f t="shared" si="67"/>
        <v>1382.5083640168762</v>
      </c>
      <c r="L490" s="4">
        <f t="shared" si="68"/>
        <v>1362.0018126144155</v>
      </c>
      <c r="M490" s="4">
        <f t="shared" si="69"/>
        <v>12033.35280040289</v>
      </c>
      <c r="N490" s="4">
        <f t="shared" si="70"/>
        <v>11854.863776995873</v>
      </c>
      <c r="O490" s="4">
        <f t="shared" si="71"/>
        <v>178.48902340701716</v>
      </c>
    </row>
    <row r="491" spans="1:15" x14ac:dyDescent="0.25">
      <c r="A491" s="4">
        <f>'Data - SKU Detail'!A480</f>
        <v>10</v>
      </c>
      <c r="B491" s="4">
        <f>'Data - SKU Detail'!B480</f>
        <v>29</v>
      </c>
      <c r="C491" s="4">
        <f>'Data - SKU Detail'!C480</f>
        <v>119.82</v>
      </c>
      <c r="D491" s="4">
        <f>'Data - SKU Detail'!F480</f>
        <v>31804</v>
      </c>
      <c r="E491" s="4">
        <f t="shared" si="63"/>
        <v>23.963999999999999</v>
      </c>
      <c r="F491" s="4">
        <f t="shared" si="64"/>
        <v>1410.9344790443795</v>
      </c>
      <c r="G491" s="4">
        <f>'Data - SKU Detail'!G480</f>
        <v>16.429103213313098</v>
      </c>
      <c r="H491" s="4">
        <f>'Data - SKU Detail'!H480</f>
        <v>10.8902178281781</v>
      </c>
      <c r="I491" s="4">
        <f t="shared" si="65"/>
        <v>71.497381203122771</v>
      </c>
      <c r="J491" s="4">
        <f t="shared" si="66"/>
        <v>47.392851900482775</v>
      </c>
      <c r="K491" s="4">
        <f t="shared" si="67"/>
        <v>776.96462072531256</v>
      </c>
      <c r="L491" s="4">
        <f t="shared" si="68"/>
        <v>752.86009142267255</v>
      </c>
      <c r="M491" s="4">
        <f t="shared" si="69"/>
        <v>18619.180171061391</v>
      </c>
      <c r="N491" s="4">
        <f t="shared" si="70"/>
        <v>18041.539230852923</v>
      </c>
      <c r="O491" s="4">
        <f t="shared" si="71"/>
        <v>577.64094020846824</v>
      </c>
    </row>
    <row r="492" spans="1:15" x14ac:dyDescent="0.25">
      <c r="A492" s="4">
        <f>'Data - SKU Detail'!A481</f>
        <v>10</v>
      </c>
      <c r="B492" s="4">
        <f>'Data - SKU Detail'!B481</f>
        <v>30</v>
      </c>
      <c r="C492" s="4">
        <f>'Data - SKU Detail'!C481</f>
        <v>595.5</v>
      </c>
      <c r="D492" s="4">
        <f>'Data - SKU Detail'!F481</f>
        <v>18531</v>
      </c>
      <c r="E492" s="4">
        <f t="shared" si="63"/>
        <v>119.10000000000001</v>
      </c>
      <c r="F492" s="4">
        <f t="shared" si="64"/>
        <v>483.10237974977855</v>
      </c>
      <c r="G492" s="4">
        <f>'Data - SKU Detail'!G481</f>
        <v>11.107147658016901</v>
      </c>
      <c r="H492" s="4">
        <f>'Data - SKU Detail'!H481</f>
        <v>7.0643927490128604</v>
      </c>
      <c r="I492" s="4">
        <f t="shared" si="65"/>
        <v>48.336903108691452</v>
      </c>
      <c r="J492" s="4">
        <f t="shared" si="66"/>
        <v>30.743344587150666</v>
      </c>
      <c r="K492" s="4">
        <f t="shared" si="67"/>
        <v>289.88809298358075</v>
      </c>
      <c r="L492" s="4">
        <f t="shared" si="68"/>
        <v>272.29453446203996</v>
      </c>
      <c r="M492" s="4">
        <f t="shared" si="69"/>
        <v>34525.671874344473</v>
      </c>
      <c r="N492" s="4">
        <f t="shared" si="70"/>
        <v>32430.27905442896</v>
      </c>
      <c r="O492" s="4">
        <f t="shared" si="71"/>
        <v>2095.3928199155125</v>
      </c>
    </row>
    <row r="493" spans="1:15" x14ac:dyDescent="0.25">
      <c r="A493" s="4">
        <f>'Data - SKU Detail'!A482</f>
        <v>10</v>
      </c>
      <c r="B493" s="4">
        <f>'Data - SKU Detail'!B482</f>
        <v>31</v>
      </c>
      <c r="C493" s="4">
        <f>'Data - SKU Detail'!C482</f>
        <v>198.8</v>
      </c>
      <c r="D493" s="4">
        <f>'Data - SKU Detail'!F482</f>
        <v>26901</v>
      </c>
      <c r="E493" s="4">
        <f t="shared" si="63"/>
        <v>39.760000000000005</v>
      </c>
      <c r="F493" s="4">
        <f t="shared" si="64"/>
        <v>1007.4109194183773</v>
      </c>
      <c r="G493" s="4">
        <f>'Data - SKU Detail'!G482</f>
        <v>12.227224407951599</v>
      </c>
      <c r="H493" s="4">
        <f>'Data - SKU Detail'!H482</f>
        <v>8.0246074322784793</v>
      </c>
      <c r="I493" s="4">
        <f t="shared" si="65"/>
        <v>53.211335591527295</v>
      </c>
      <c r="J493" s="4">
        <f t="shared" si="66"/>
        <v>34.922077556010819</v>
      </c>
      <c r="K493" s="4">
        <f t="shared" si="67"/>
        <v>556.91679530071588</v>
      </c>
      <c r="L493" s="4">
        <f t="shared" si="68"/>
        <v>538.62753726519941</v>
      </c>
      <c r="M493" s="4">
        <f t="shared" si="69"/>
        <v>22143.011781156467</v>
      </c>
      <c r="N493" s="4">
        <f t="shared" si="70"/>
        <v>21415.830881664333</v>
      </c>
      <c r="O493" s="4">
        <f t="shared" si="71"/>
        <v>727.1808994921339</v>
      </c>
    </row>
    <row r="494" spans="1:15" x14ac:dyDescent="0.25">
      <c r="A494" s="4">
        <f>'Data - SKU Detail'!A483</f>
        <v>10</v>
      </c>
      <c r="B494" s="4">
        <f>'Data - SKU Detail'!B483</f>
        <v>32</v>
      </c>
      <c r="C494" s="4">
        <f>'Data - SKU Detail'!C483</f>
        <v>462.3</v>
      </c>
      <c r="D494" s="4">
        <f>'Data - SKU Detail'!F483</f>
        <v>20077</v>
      </c>
      <c r="E494" s="4">
        <f t="shared" si="63"/>
        <v>92.460000000000008</v>
      </c>
      <c r="F494" s="4">
        <f t="shared" si="64"/>
        <v>570.7134326379404</v>
      </c>
      <c r="G494" s="4">
        <f>'Data - SKU Detail'!G483</f>
        <v>10.169484674160399</v>
      </c>
      <c r="H494" s="4">
        <f>'Data - SKU Detail'!H483</f>
        <v>7.0329630437710504</v>
      </c>
      <c r="I494" s="4">
        <f t="shared" si="65"/>
        <v>44.256312286027402</v>
      </c>
      <c r="J494" s="4">
        <f t="shared" si="66"/>
        <v>30.606566481395355</v>
      </c>
      <c r="K494" s="4">
        <f t="shared" si="67"/>
        <v>329.61302860499762</v>
      </c>
      <c r="L494" s="4">
        <f t="shared" si="68"/>
        <v>315.96328280036556</v>
      </c>
      <c r="M494" s="4">
        <f t="shared" si="69"/>
        <v>30476.020624818084</v>
      </c>
      <c r="N494" s="4">
        <f t="shared" si="70"/>
        <v>29213.965127721804</v>
      </c>
      <c r="O494" s="4">
        <f t="shared" si="71"/>
        <v>1262.0554970962803</v>
      </c>
    </row>
    <row r="495" spans="1:15" x14ac:dyDescent="0.25">
      <c r="A495" s="4">
        <f>'Data - SKU Detail'!A484</f>
        <v>10</v>
      </c>
      <c r="B495" s="4">
        <f>'Data - SKU Detail'!B484</f>
        <v>33</v>
      </c>
      <c r="C495" s="4">
        <f>'Data - SKU Detail'!C484</f>
        <v>130.37</v>
      </c>
      <c r="D495" s="4">
        <f>'Data - SKU Detail'!F484</f>
        <v>32114</v>
      </c>
      <c r="E495" s="4">
        <f t="shared" si="63"/>
        <v>26.074000000000002</v>
      </c>
      <c r="F495" s="4">
        <f t="shared" si="64"/>
        <v>1359.2176345409503</v>
      </c>
      <c r="G495" s="4">
        <f>'Data - SKU Detail'!G484</f>
        <v>14.2755751166673</v>
      </c>
      <c r="H495" s="4">
        <f>'Data - SKU Detail'!H484</f>
        <v>9.3660803522211697</v>
      </c>
      <c r="I495" s="4">
        <f t="shared" si="65"/>
        <v>62.125499046295651</v>
      </c>
      <c r="J495" s="4">
        <f t="shared" si="66"/>
        <v>40.759998195104984</v>
      </c>
      <c r="K495" s="4">
        <f t="shared" si="67"/>
        <v>741.73431631677079</v>
      </c>
      <c r="L495" s="4">
        <f t="shared" si="68"/>
        <v>720.36881546558016</v>
      </c>
      <c r="M495" s="4">
        <f t="shared" si="69"/>
        <v>19339.980563643483</v>
      </c>
      <c r="N495" s="4">
        <f t="shared" si="70"/>
        <v>18782.896494449538</v>
      </c>
      <c r="O495" s="4">
        <f t="shared" si="71"/>
        <v>557.08406919394474</v>
      </c>
    </row>
    <row r="496" spans="1:15" x14ac:dyDescent="0.25">
      <c r="A496" s="4">
        <f>'Data - SKU Detail'!A485</f>
        <v>10</v>
      </c>
      <c r="B496" s="4">
        <f>'Data - SKU Detail'!B485</f>
        <v>34</v>
      </c>
      <c r="C496" s="4">
        <f>'Data - SKU Detail'!C485</f>
        <v>1384.8</v>
      </c>
      <c r="D496" s="4">
        <f>'Data - SKU Detail'!F485</f>
        <v>11782</v>
      </c>
      <c r="E496" s="4">
        <f t="shared" si="63"/>
        <v>276.95999999999998</v>
      </c>
      <c r="F496" s="4">
        <f t="shared" si="64"/>
        <v>252.60771678406059</v>
      </c>
      <c r="G496" s="4">
        <f>'Data - SKU Detail'!G485</f>
        <v>6.9331236492359496</v>
      </c>
      <c r="H496" s="4">
        <f>'Data - SKU Detail'!H485</f>
        <v>4.6066062143853799</v>
      </c>
      <c r="I496" s="4">
        <f t="shared" si="65"/>
        <v>30.172078052082874</v>
      </c>
      <c r="J496" s="4">
        <f t="shared" si="66"/>
        <v>20.047368154318566</v>
      </c>
      <c r="K496" s="4">
        <f t="shared" si="67"/>
        <v>156.47593644411316</v>
      </c>
      <c r="L496" s="4">
        <f t="shared" si="68"/>
        <v>146.35122654634887</v>
      </c>
      <c r="M496" s="4">
        <f t="shared" si="69"/>
        <v>43337.575357561574</v>
      </c>
      <c r="N496" s="4">
        <f t="shared" si="70"/>
        <v>40533.435704276781</v>
      </c>
      <c r="O496" s="4">
        <f t="shared" si="71"/>
        <v>2804.1396532847939</v>
      </c>
    </row>
    <row r="497" spans="1:15" x14ac:dyDescent="0.25">
      <c r="A497" s="4">
        <f>'Data - SKU Detail'!A486</f>
        <v>10</v>
      </c>
      <c r="B497" s="4">
        <f>'Data - SKU Detail'!B486</f>
        <v>35</v>
      </c>
      <c r="C497" s="4">
        <f>'Data - SKU Detail'!C486</f>
        <v>167.93</v>
      </c>
      <c r="D497" s="4">
        <f>'Data - SKU Detail'!F486</f>
        <v>29942</v>
      </c>
      <c r="E497" s="4">
        <f t="shared" si="63"/>
        <v>33.586000000000006</v>
      </c>
      <c r="F497" s="4">
        <f t="shared" si="64"/>
        <v>1156.396825306414</v>
      </c>
      <c r="G497" s="4">
        <f>'Data - SKU Detail'!G486</f>
        <v>12.0915592486867</v>
      </c>
      <c r="H497" s="4">
        <f>'Data - SKU Detail'!H486</f>
        <v>8.8805738004551493</v>
      </c>
      <c r="I497" s="4">
        <f t="shared" si="65"/>
        <v>52.620937961053777</v>
      </c>
      <c r="J497" s="4">
        <f t="shared" si="66"/>
        <v>38.647135030419278</v>
      </c>
      <c r="K497" s="4">
        <f t="shared" si="67"/>
        <v>630.81935061426077</v>
      </c>
      <c r="L497" s="4">
        <f t="shared" si="68"/>
        <v>616.84554768362625</v>
      </c>
      <c r="M497" s="4">
        <f t="shared" si="69"/>
        <v>21186.698709730565</v>
      </c>
      <c r="N497" s="4">
        <f t="shared" si="70"/>
        <v>20717.374564502275</v>
      </c>
      <c r="O497" s="4">
        <f t="shared" si="71"/>
        <v>469.32414522828913</v>
      </c>
    </row>
    <row r="498" spans="1:15" x14ac:dyDescent="0.25">
      <c r="A498" s="4">
        <f>'Data - SKU Detail'!A487</f>
        <v>10</v>
      </c>
      <c r="B498" s="4">
        <f>'Data - SKU Detail'!B487</f>
        <v>36</v>
      </c>
      <c r="C498" s="4">
        <f>'Data - SKU Detail'!C487</f>
        <v>78.569999999999993</v>
      </c>
      <c r="D498" s="4">
        <f>'Data - SKU Detail'!F487</f>
        <v>35011</v>
      </c>
      <c r="E498" s="4">
        <f t="shared" si="63"/>
        <v>15.713999999999999</v>
      </c>
      <c r="F498" s="4">
        <f t="shared" si="64"/>
        <v>1828.1192124438858</v>
      </c>
      <c r="G498" s="4">
        <f>'Data - SKU Detail'!G487</f>
        <v>14.6441913787387</v>
      </c>
      <c r="H498" s="4">
        <f>'Data - SKU Detail'!H487</f>
        <v>9.4567327510596506</v>
      </c>
      <c r="I498" s="4">
        <f t="shared" si="65"/>
        <v>63.729670440485485</v>
      </c>
      <c r="J498" s="4">
        <f t="shared" si="66"/>
        <v>41.154505980014406</v>
      </c>
      <c r="K498" s="4">
        <f t="shared" si="67"/>
        <v>977.78927666242839</v>
      </c>
      <c r="L498" s="4">
        <f t="shared" si="68"/>
        <v>955.21411220195728</v>
      </c>
      <c r="M498" s="4">
        <f t="shared" si="69"/>
        <v>15364.980693473399</v>
      </c>
      <c r="N498" s="4">
        <f t="shared" si="70"/>
        <v>15010.234559141556</v>
      </c>
      <c r="O498" s="4">
        <f t="shared" si="71"/>
        <v>354.74613433184277</v>
      </c>
    </row>
    <row r="499" spans="1:15" x14ac:dyDescent="0.25">
      <c r="A499" s="4">
        <f>'Data - SKU Detail'!A488</f>
        <v>10</v>
      </c>
      <c r="B499" s="4">
        <f>'Data - SKU Detail'!B488</f>
        <v>37</v>
      </c>
      <c r="C499" s="4">
        <f>'Data - SKU Detail'!C488</f>
        <v>1169.73</v>
      </c>
      <c r="D499" s="4">
        <f>'Data - SKU Detail'!F488</f>
        <v>13335</v>
      </c>
      <c r="E499" s="4">
        <f t="shared" si="63"/>
        <v>233.94600000000003</v>
      </c>
      <c r="F499" s="4">
        <f t="shared" si="64"/>
        <v>292.4046855223275</v>
      </c>
      <c r="G499" s="4">
        <f>'Data - SKU Detail'!G488</f>
        <v>7.5644309991024103</v>
      </c>
      <c r="H499" s="4">
        <f>'Data - SKU Detail'!H488</f>
        <v>5.7280817257449996</v>
      </c>
      <c r="I499" s="4">
        <f t="shared" si="65"/>
        <v>32.91944786671521</v>
      </c>
      <c r="J499" s="4">
        <f t="shared" si="66"/>
        <v>24.927887870128185</v>
      </c>
      <c r="K499" s="4">
        <f t="shared" si="67"/>
        <v>179.12179062787897</v>
      </c>
      <c r="L499" s="4">
        <f t="shared" si="68"/>
        <v>171.13023063129194</v>
      </c>
      <c r="M499" s="4">
        <f t="shared" si="69"/>
        <v>41904.826430229776</v>
      </c>
      <c r="N499" s="4">
        <f t="shared" si="70"/>
        <v>40035.232935268228</v>
      </c>
      <c r="O499" s="4">
        <f t="shared" si="71"/>
        <v>1869.5934949615475</v>
      </c>
    </row>
    <row r="500" spans="1:15" x14ac:dyDescent="0.25">
      <c r="A500" s="4">
        <f>'Data - SKU Detail'!A489</f>
        <v>10</v>
      </c>
      <c r="B500" s="4">
        <f>'Data - SKU Detail'!B489</f>
        <v>38</v>
      </c>
      <c r="C500" s="4">
        <f>'Data - SKU Detail'!C489</f>
        <v>66.37</v>
      </c>
      <c r="D500" s="4">
        <f>'Data - SKU Detail'!F489</f>
        <v>36593</v>
      </c>
      <c r="E500" s="4">
        <f t="shared" si="63"/>
        <v>13.274000000000001</v>
      </c>
      <c r="F500" s="4">
        <f t="shared" si="64"/>
        <v>2033.4979115344961</v>
      </c>
      <c r="G500" s="4">
        <f>'Data - SKU Detail'!G489</f>
        <v>16.3806546897546</v>
      </c>
      <c r="H500" s="4">
        <f>'Data - SKU Detail'!H489</f>
        <v>10.7318919100356</v>
      </c>
      <c r="I500" s="4">
        <f t="shared" si="65"/>
        <v>71.286539350550839</v>
      </c>
      <c r="J500" s="4">
        <f t="shared" si="66"/>
        <v>46.703837510787068</v>
      </c>
      <c r="K500" s="4">
        <f t="shared" si="67"/>
        <v>1088.035495117799</v>
      </c>
      <c r="L500" s="4">
        <f t="shared" si="68"/>
        <v>1063.4527932780352</v>
      </c>
      <c r="M500" s="4">
        <f t="shared" si="69"/>
        <v>14442.583162193665</v>
      </c>
      <c r="N500" s="4">
        <f t="shared" si="70"/>
        <v>14116.27237797264</v>
      </c>
      <c r="O500" s="4">
        <f t="shared" si="71"/>
        <v>326.31078422102473</v>
      </c>
    </row>
    <row r="501" spans="1:15" x14ac:dyDescent="0.25">
      <c r="A501" s="4">
        <f>'Data - SKU Detail'!A490</f>
        <v>10</v>
      </c>
      <c r="B501" s="4">
        <f>'Data - SKU Detail'!B490</f>
        <v>39</v>
      </c>
      <c r="C501" s="4">
        <f>'Data - SKU Detail'!C490</f>
        <v>503.01</v>
      </c>
      <c r="D501" s="4">
        <f>'Data - SKU Detail'!F490</f>
        <v>19925</v>
      </c>
      <c r="E501" s="4">
        <f t="shared" si="63"/>
        <v>100.602</v>
      </c>
      <c r="F501" s="4">
        <f t="shared" si="64"/>
        <v>545.05645490628694</v>
      </c>
      <c r="G501" s="4">
        <f>'Data - SKU Detail'!G490</f>
        <v>11.895608202420499</v>
      </c>
      <c r="H501" s="4">
        <f>'Data - SKU Detail'!H490</f>
        <v>7.8224300421987696</v>
      </c>
      <c r="I501" s="4">
        <f t="shared" si="65"/>
        <v>51.768183768074302</v>
      </c>
      <c r="J501" s="4">
        <f t="shared" si="66"/>
        <v>34.042227101515664</v>
      </c>
      <c r="K501" s="4">
        <f t="shared" si="67"/>
        <v>324.2964112212178</v>
      </c>
      <c r="L501" s="4">
        <f t="shared" si="68"/>
        <v>306.57045455465914</v>
      </c>
      <c r="M501" s="4">
        <f t="shared" si="69"/>
        <v>32624.867561676954</v>
      </c>
      <c r="N501" s="4">
        <f t="shared" si="70"/>
        <v>30841.60086910782</v>
      </c>
      <c r="O501" s="4">
        <f t="shared" si="71"/>
        <v>1783.2666925691337</v>
      </c>
    </row>
    <row r="502" spans="1:15" x14ac:dyDescent="0.25">
      <c r="A502" s="4">
        <f>'Data - SKU Detail'!A491</f>
        <v>10</v>
      </c>
      <c r="B502" s="4">
        <f>'Data - SKU Detail'!B491</f>
        <v>40</v>
      </c>
      <c r="C502" s="4">
        <f>'Data - SKU Detail'!C491</f>
        <v>1272.73</v>
      </c>
      <c r="D502" s="4">
        <f>'Data - SKU Detail'!F491</f>
        <v>13333</v>
      </c>
      <c r="E502" s="4">
        <f t="shared" si="63"/>
        <v>254.54600000000002</v>
      </c>
      <c r="F502" s="4">
        <f t="shared" si="64"/>
        <v>280.30215112078128</v>
      </c>
      <c r="G502" s="4">
        <f>'Data - SKU Detail'!G491</f>
        <v>9.3599963553718997</v>
      </c>
      <c r="H502" s="4">
        <f>'Data - SKU Detail'!H491</f>
        <v>6.1004792779745296</v>
      </c>
      <c r="I502" s="4">
        <f t="shared" si="65"/>
        <v>40.733521409590708</v>
      </c>
      <c r="J502" s="4">
        <f t="shared" si="66"/>
        <v>26.548514961282432</v>
      </c>
      <c r="K502" s="4">
        <f t="shared" si="67"/>
        <v>180.88459696998135</v>
      </c>
      <c r="L502" s="4">
        <f t="shared" si="68"/>
        <v>166.69959052167306</v>
      </c>
      <c r="M502" s="4">
        <f t="shared" si="69"/>
        <v>46043.450620320873</v>
      </c>
      <c r="N502" s="4">
        <f t="shared" si="70"/>
        <v>42432.713968929791</v>
      </c>
      <c r="O502" s="4">
        <f t="shared" si="71"/>
        <v>3610.736651391082</v>
      </c>
    </row>
    <row r="503" spans="1:15" x14ac:dyDescent="0.25">
      <c r="A503" s="4">
        <f>'Data - SKU Detail'!A492</f>
        <v>10</v>
      </c>
      <c r="B503" s="4">
        <f>'Data - SKU Detail'!B492</f>
        <v>41</v>
      </c>
      <c r="C503" s="4">
        <f>'Data - SKU Detail'!C492</f>
        <v>2111.73</v>
      </c>
      <c r="D503" s="4">
        <f>'Data - SKU Detail'!F492</f>
        <v>10010</v>
      </c>
      <c r="E503" s="4">
        <f t="shared" si="63"/>
        <v>422.346</v>
      </c>
      <c r="F503" s="4">
        <f t="shared" si="64"/>
        <v>188.5508417532067</v>
      </c>
      <c r="G503" s="4">
        <f>'Data - SKU Detail'!G492</f>
        <v>6.4772747656611704</v>
      </c>
      <c r="H503" s="4">
        <f>'Data - SKU Detail'!H492</f>
        <v>4.9352726087315499</v>
      </c>
      <c r="I503" s="4">
        <f t="shared" si="65"/>
        <v>28.188281311822976</v>
      </c>
      <c r="J503" s="4">
        <f t="shared" si="66"/>
        <v>21.477682772232832</v>
      </c>
      <c r="K503" s="4">
        <f t="shared" si="67"/>
        <v>122.46370218842632</v>
      </c>
      <c r="L503" s="4">
        <f t="shared" si="68"/>
        <v>115.75310364883617</v>
      </c>
      <c r="M503" s="4">
        <f t="shared" si="69"/>
        <v>51722.054764473105</v>
      </c>
      <c r="N503" s="4">
        <f t="shared" si="70"/>
        <v>48887.860313671365</v>
      </c>
      <c r="O503" s="4">
        <f t="shared" si="71"/>
        <v>2834.1944508017405</v>
      </c>
    </row>
    <row r="504" spans="1:15" x14ac:dyDescent="0.25">
      <c r="A504" s="4">
        <f>'Data - SKU Detail'!A493</f>
        <v>10</v>
      </c>
      <c r="B504" s="4">
        <f>'Data - SKU Detail'!B493</f>
        <v>42</v>
      </c>
      <c r="C504" s="4">
        <f>'Data - SKU Detail'!C493</f>
        <v>704.99</v>
      </c>
      <c r="D504" s="4">
        <f>'Data - SKU Detail'!F493</f>
        <v>16901</v>
      </c>
      <c r="E504" s="4">
        <f t="shared" si="63"/>
        <v>140.99800000000002</v>
      </c>
      <c r="F504" s="4">
        <f t="shared" si="64"/>
        <v>424.02879937691876</v>
      </c>
      <c r="G504" s="4">
        <f>'Data - SKU Detail'!G493</f>
        <v>9.5240974833039402</v>
      </c>
      <c r="H504" s="4">
        <f>'Data - SKU Detail'!H493</f>
        <v>6.5575229782605602</v>
      </c>
      <c r="I504" s="4">
        <f t="shared" si="65"/>
        <v>41.447668782535075</v>
      </c>
      <c r="J504" s="4">
        <f t="shared" si="66"/>
        <v>28.537511392892675</v>
      </c>
      <c r="K504" s="4">
        <f t="shared" si="67"/>
        <v>253.46206847099444</v>
      </c>
      <c r="L504" s="4">
        <f t="shared" si="68"/>
        <v>240.55191108135205</v>
      </c>
      <c r="M504" s="4">
        <f t="shared" si="69"/>
        <v>35737.644730273278</v>
      </c>
      <c r="N504" s="4">
        <f t="shared" si="70"/>
        <v>33917.338358648478</v>
      </c>
      <c r="O504" s="4">
        <f t="shared" si="71"/>
        <v>1820.3063716247998</v>
      </c>
    </row>
    <row r="505" spans="1:15" x14ac:dyDescent="0.25">
      <c r="A505" s="4">
        <f>'Data - SKU Detail'!A494</f>
        <v>10</v>
      </c>
      <c r="B505" s="4">
        <f>'Data - SKU Detail'!B494</f>
        <v>43</v>
      </c>
      <c r="C505" s="4">
        <f>'Data - SKU Detail'!C494</f>
        <v>358.9</v>
      </c>
      <c r="D505" s="4">
        <f>'Data - SKU Detail'!F494</f>
        <v>23724</v>
      </c>
      <c r="E505" s="4">
        <f t="shared" si="63"/>
        <v>71.78</v>
      </c>
      <c r="F505" s="4">
        <f t="shared" si="64"/>
        <v>704.10570016294457</v>
      </c>
      <c r="G505" s="4">
        <f>'Data - SKU Detail'!G494</f>
        <v>12.3212106242452</v>
      </c>
      <c r="H505" s="4">
        <f>'Data - SKU Detail'!H494</f>
        <v>8.8355148961942902</v>
      </c>
      <c r="I505" s="4">
        <f t="shared" si="65"/>
        <v>53.620351728740275</v>
      </c>
      <c r="J505" s="4">
        <f t="shared" si="66"/>
        <v>38.451044372718428</v>
      </c>
      <c r="K505" s="4">
        <f t="shared" si="67"/>
        <v>405.67320181021256</v>
      </c>
      <c r="L505" s="4">
        <f t="shared" si="68"/>
        <v>390.50389445419069</v>
      </c>
      <c r="M505" s="4">
        <f t="shared" si="69"/>
        <v>29119.22242593706</v>
      </c>
      <c r="N505" s="4">
        <f t="shared" si="70"/>
        <v>28030.369543921806</v>
      </c>
      <c r="O505" s="4">
        <f t="shared" si="71"/>
        <v>1088.8528820152533</v>
      </c>
    </row>
    <row r="506" spans="1:15" x14ac:dyDescent="0.25">
      <c r="A506" s="4">
        <f>'Data - SKU Detail'!A495</f>
        <v>10</v>
      </c>
      <c r="B506" s="4">
        <f>'Data - SKU Detail'!B495</f>
        <v>44</v>
      </c>
      <c r="C506" s="4">
        <f>'Data - SKU Detail'!C495</f>
        <v>908.1</v>
      </c>
      <c r="D506" s="4">
        <f>'Data - SKU Detail'!F495</f>
        <v>13363</v>
      </c>
      <c r="E506" s="4">
        <f t="shared" si="63"/>
        <v>181.62</v>
      </c>
      <c r="F506" s="4">
        <f t="shared" si="64"/>
        <v>332.21235362673286</v>
      </c>
      <c r="G506" s="4">
        <f>'Data - SKU Detail'!G495</f>
        <v>7.9325498039872198</v>
      </c>
      <c r="H506" s="4">
        <f>'Data - SKU Detail'!H495</f>
        <v>5.1554890992384204</v>
      </c>
      <c r="I506" s="4">
        <f t="shared" si="65"/>
        <v>34.521454390087683</v>
      </c>
      <c r="J506" s="4">
        <f t="shared" si="66"/>
        <v>22.436037112366559</v>
      </c>
      <c r="K506" s="4">
        <f t="shared" si="67"/>
        <v>200.62763120345411</v>
      </c>
      <c r="L506" s="4">
        <f t="shared" si="68"/>
        <v>188.54221392573299</v>
      </c>
      <c r="M506" s="4">
        <f t="shared" si="69"/>
        <v>36437.990379171337</v>
      </c>
      <c r="N506" s="4">
        <f t="shared" si="70"/>
        <v>34243.036893191631</v>
      </c>
      <c r="O506" s="4">
        <f t="shared" si="71"/>
        <v>2194.9534859797059</v>
      </c>
    </row>
    <row r="507" spans="1:15" x14ac:dyDescent="0.25">
      <c r="A507" s="4">
        <f>'Data - SKU Detail'!A496</f>
        <v>10</v>
      </c>
      <c r="B507" s="4">
        <f>'Data - SKU Detail'!B496</f>
        <v>45</v>
      </c>
      <c r="C507" s="4">
        <f>'Data - SKU Detail'!C496</f>
        <v>61</v>
      </c>
      <c r="D507" s="4">
        <f>'Data - SKU Detail'!F496</f>
        <v>37307</v>
      </c>
      <c r="E507" s="4">
        <f t="shared" si="63"/>
        <v>12.200000000000001</v>
      </c>
      <c r="F507" s="4">
        <f t="shared" si="64"/>
        <v>2141.7110518247309</v>
      </c>
      <c r="G507" s="4">
        <f>'Data - SKU Detail'!G496</f>
        <v>16.6938188606136</v>
      </c>
      <c r="H507" s="4">
        <f>'Data - SKU Detail'!H496</f>
        <v>9.83324928102064</v>
      </c>
      <c r="I507" s="4">
        <f t="shared" si="65"/>
        <v>72.649390250709644</v>
      </c>
      <c r="J507" s="4">
        <f t="shared" si="66"/>
        <v>42.793058341782007</v>
      </c>
      <c r="K507" s="4">
        <f t="shared" si="67"/>
        <v>1143.504916163075</v>
      </c>
      <c r="L507" s="4">
        <f t="shared" si="68"/>
        <v>1113.6485842541474</v>
      </c>
      <c r="M507" s="4">
        <f t="shared" si="69"/>
        <v>13950.759977189517</v>
      </c>
      <c r="N507" s="4">
        <f t="shared" si="70"/>
        <v>13586.512727900599</v>
      </c>
      <c r="O507" s="4">
        <f t="shared" si="71"/>
        <v>364.24724928891737</v>
      </c>
    </row>
    <row r="508" spans="1:15" x14ac:dyDescent="0.25">
      <c r="A508" s="4">
        <f>'Data - SKU Detail'!A497</f>
        <v>10</v>
      </c>
      <c r="B508" s="4">
        <f>'Data - SKU Detail'!B497</f>
        <v>46</v>
      </c>
      <c r="C508" s="4">
        <f>'Data - SKU Detail'!C497</f>
        <v>216.31</v>
      </c>
      <c r="D508" s="4">
        <f>'Data - SKU Detail'!F497</f>
        <v>26968</v>
      </c>
      <c r="E508" s="4">
        <f t="shared" si="63"/>
        <v>43.262</v>
      </c>
      <c r="F508" s="4">
        <f t="shared" si="64"/>
        <v>966.97824349722396</v>
      </c>
      <c r="G508" s="4">
        <f>'Data - SKU Detail'!G497</f>
        <v>14.988257866252001</v>
      </c>
      <c r="H508" s="4">
        <f>'Data - SKU Detail'!H497</f>
        <v>9.3947155338246002</v>
      </c>
      <c r="I508" s="4">
        <f t="shared" si="65"/>
        <v>65.227004317907586</v>
      </c>
      <c r="J508" s="4">
        <f t="shared" si="66"/>
        <v>40.884614887102025</v>
      </c>
      <c r="K508" s="4">
        <f t="shared" si="67"/>
        <v>548.71612606651956</v>
      </c>
      <c r="L508" s="4">
        <f t="shared" si="68"/>
        <v>524.37373663571395</v>
      </c>
      <c r="M508" s="4">
        <f t="shared" si="69"/>
        <v>23738.557045889771</v>
      </c>
      <c r="N508" s="4">
        <f t="shared" si="70"/>
        <v>22685.456594334257</v>
      </c>
      <c r="O508" s="4">
        <f t="shared" si="71"/>
        <v>1053.1004515555142</v>
      </c>
    </row>
    <row r="509" spans="1:15" x14ac:dyDescent="0.25">
      <c r="A509" s="4">
        <f>'Data - SKU Detail'!A498</f>
        <v>10</v>
      </c>
      <c r="B509" s="4">
        <f>'Data - SKU Detail'!B498</f>
        <v>47</v>
      </c>
      <c r="C509" s="4">
        <f>'Data - SKU Detail'!C498</f>
        <v>1940.83</v>
      </c>
      <c r="D509" s="4">
        <f>'Data - SKU Detail'!F498</f>
        <v>10210</v>
      </c>
      <c r="E509" s="4">
        <f t="shared" si="63"/>
        <v>388.166</v>
      </c>
      <c r="F509" s="4">
        <f t="shared" si="64"/>
        <v>198.63224650407832</v>
      </c>
      <c r="G509" s="4">
        <f>'Data - SKU Detail'!G498</f>
        <v>8.5638254621184497</v>
      </c>
      <c r="H509" s="4">
        <f>'Data - SKU Detail'!H498</f>
        <v>5.34000918261839</v>
      </c>
      <c r="I509" s="4">
        <f t="shared" si="65"/>
        <v>37.268686286292862</v>
      </c>
      <c r="J509" s="4">
        <f t="shared" si="66"/>
        <v>23.239045199281442</v>
      </c>
      <c r="K509" s="4">
        <f t="shared" si="67"/>
        <v>136.58480953833202</v>
      </c>
      <c r="L509" s="4">
        <f t="shared" si="68"/>
        <v>122.55516845132061</v>
      </c>
      <c r="M509" s="4">
        <f t="shared" si="69"/>
        <v>53017.579179256187</v>
      </c>
      <c r="N509" s="4">
        <f t="shared" si="70"/>
        <v>47571.749517075317</v>
      </c>
      <c r="O509" s="4">
        <f t="shared" si="71"/>
        <v>5445.8296621808695</v>
      </c>
    </row>
    <row r="510" spans="1:15" x14ac:dyDescent="0.25">
      <c r="A510" s="4">
        <f>'Data - SKU Detail'!A499</f>
        <v>10</v>
      </c>
      <c r="B510" s="4">
        <f>'Data - SKU Detail'!B499</f>
        <v>48</v>
      </c>
      <c r="C510" s="4">
        <f>'Data - SKU Detail'!C499</f>
        <v>329.86</v>
      </c>
      <c r="D510" s="4">
        <f>'Data - SKU Detail'!F499</f>
        <v>23552</v>
      </c>
      <c r="E510" s="4">
        <f t="shared" si="63"/>
        <v>65.972000000000008</v>
      </c>
      <c r="F510" s="4">
        <f t="shared" si="64"/>
        <v>731.7785929175061</v>
      </c>
      <c r="G510" s="4">
        <f>'Data - SKU Detail'!G499</f>
        <v>12.331869766770099</v>
      </c>
      <c r="H510" s="4">
        <f>'Data - SKU Detail'!H499</f>
        <v>8.3904101179750903</v>
      </c>
      <c r="I510" s="4">
        <f t="shared" si="65"/>
        <v>53.666738970119553</v>
      </c>
      <c r="J510" s="4">
        <f t="shared" si="66"/>
        <v>36.514004621341037</v>
      </c>
      <c r="K510" s="4">
        <f t="shared" si="67"/>
        <v>419.55603542887263</v>
      </c>
      <c r="L510" s="4">
        <f t="shared" si="68"/>
        <v>402.40330108009408</v>
      </c>
      <c r="M510" s="4">
        <f t="shared" si="69"/>
        <v>27678.950769313589</v>
      </c>
      <c r="N510" s="4">
        <f t="shared" si="70"/>
        <v>26547.350578855971</v>
      </c>
      <c r="O510" s="4">
        <f t="shared" si="71"/>
        <v>1131.6001904576187</v>
      </c>
    </row>
    <row r="511" spans="1:15" x14ac:dyDescent="0.25">
      <c r="A511" s="4">
        <f>'Data - SKU Detail'!A500</f>
        <v>10</v>
      </c>
      <c r="B511" s="4">
        <f>'Data - SKU Detail'!B500</f>
        <v>49</v>
      </c>
      <c r="C511" s="4">
        <f>'Data - SKU Detail'!C500</f>
        <v>988.06</v>
      </c>
      <c r="D511" s="4">
        <f>'Data - SKU Detail'!F500</f>
        <v>13327</v>
      </c>
      <c r="E511" s="4">
        <f t="shared" si="63"/>
        <v>197.61199999999999</v>
      </c>
      <c r="F511" s="4">
        <f t="shared" si="64"/>
        <v>318.05715623820504</v>
      </c>
      <c r="G511" s="4">
        <f>'Data - SKU Detail'!G500</f>
        <v>9.1339961315986606</v>
      </c>
      <c r="H511" s="4">
        <f>'Data - SKU Detail'!H500</f>
        <v>6.6112781011637098</v>
      </c>
      <c r="I511" s="4">
        <f t="shared" si="65"/>
        <v>39.749996993114181</v>
      </c>
      <c r="J511" s="4">
        <f t="shared" si="66"/>
        <v>28.771446895270724</v>
      </c>
      <c r="K511" s="4">
        <f t="shared" si="67"/>
        <v>198.77857511221669</v>
      </c>
      <c r="L511" s="4">
        <f t="shared" si="68"/>
        <v>187.80002501437323</v>
      </c>
      <c r="M511" s="4">
        <f t="shared" si="69"/>
        <v>39281.031785075364</v>
      </c>
      <c r="N511" s="4">
        <f t="shared" si="70"/>
        <v>37111.538543140319</v>
      </c>
      <c r="O511" s="4">
        <f t="shared" si="71"/>
        <v>2169.4932419350444</v>
      </c>
    </row>
    <row r="512" spans="1:15" x14ac:dyDescent="0.25">
      <c r="A512" s="4">
        <f>'Data - SKU Detail'!A501</f>
        <v>10</v>
      </c>
      <c r="B512" s="4">
        <f>'Data - SKU Detail'!B501</f>
        <v>50</v>
      </c>
      <c r="C512" s="4">
        <f>'Data - SKU Detail'!C501</f>
        <v>154.34</v>
      </c>
      <c r="D512" s="4">
        <f>'Data - SKU Detail'!F501</f>
        <v>30190</v>
      </c>
      <c r="E512" s="4">
        <f t="shared" si="63"/>
        <v>30.868000000000002</v>
      </c>
      <c r="F512" s="4">
        <f t="shared" si="64"/>
        <v>1211.2197401951828</v>
      </c>
      <c r="G512" s="4">
        <f>'Data - SKU Detail'!G501</f>
        <v>12.4748768074752</v>
      </c>
      <c r="H512" s="4">
        <f>'Data - SKU Detail'!H501</f>
        <v>9.3738700630226006</v>
      </c>
      <c r="I512" s="4">
        <f t="shared" si="65"/>
        <v>54.289087540900809</v>
      </c>
      <c r="J512" s="4">
        <f t="shared" si="66"/>
        <v>40.793898032205078</v>
      </c>
      <c r="K512" s="4">
        <f t="shared" si="67"/>
        <v>659.89895763849222</v>
      </c>
      <c r="L512" s="4">
        <f t="shared" si="68"/>
        <v>646.4037681297965</v>
      </c>
      <c r="M512" s="4">
        <f t="shared" si="69"/>
        <v>20369.761024384978</v>
      </c>
      <c r="N512" s="4">
        <f t="shared" si="70"/>
        <v>19953.191514630558</v>
      </c>
      <c r="O512" s="4">
        <f t="shared" si="71"/>
        <v>416.56950975441941</v>
      </c>
    </row>
    <row r="513" spans="1:15" x14ac:dyDescent="0.25">
      <c r="A513" s="5" t="s">
        <v>48</v>
      </c>
      <c r="I513" s="9">
        <f>SUM(I13:I512)</f>
        <v>25114.83034539955</v>
      </c>
      <c r="J513" s="9">
        <f>SUM(J13:J512)</f>
        <v>16744.48679211842</v>
      </c>
      <c r="M513" s="9">
        <f>SUM(M13:M512)</f>
        <v>13738003.375133427</v>
      </c>
      <c r="N513" s="9">
        <f>SUM(N13:N512)</f>
        <v>13009121.836678352</v>
      </c>
      <c r="O513" s="9">
        <f>SUM(O13:O512)</f>
        <v>728881.53845509922</v>
      </c>
    </row>
    <row r="515" spans="1:15" x14ac:dyDescent="0.25">
      <c r="A515" s="5" t="s">
        <v>49</v>
      </c>
      <c r="B515" s="10">
        <f>1-J513/I513</f>
        <v>0.33328290249885695</v>
      </c>
    </row>
    <row r="516" spans="1:15" x14ac:dyDescent="0.25">
      <c r="A516" s="5" t="s">
        <v>50</v>
      </c>
      <c r="B516" s="10">
        <f>1-N513/M513</f>
        <v>5.3055856702902804E-2</v>
      </c>
    </row>
    <row r="517" spans="1:15" x14ac:dyDescent="0.25">
      <c r="A517" s="5" t="s">
        <v>51</v>
      </c>
      <c r="B517" s="11">
        <f>O513</f>
        <v>728881.53845509922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zoomScaleNormal="100" workbookViewId="0"/>
  </sheetViews>
  <sheetFormatPr defaultColWidth="8.7109375" defaultRowHeight="15" x14ac:dyDescent="0.25"/>
  <cols>
    <col min="1" max="9" width="18" customWidth="1"/>
  </cols>
  <sheetData>
    <row r="1" spans="1:9" ht="16.5" x14ac:dyDescent="0.25">
      <c r="A1" s="1" t="s">
        <v>52</v>
      </c>
    </row>
    <row r="2" spans="1:9" ht="45" customHeight="1" x14ac:dyDescent="0.25">
      <c r="A2" s="12" t="s">
        <v>53</v>
      </c>
    </row>
    <row r="4" spans="1:9" ht="39.75" customHeight="1" x14ac:dyDescent="0.25">
      <c r="A4" s="13" t="s">
        <v>54</v>
      </c>
      <c r="B4" s="13" t="s">
        <v>55</v>
      </c>
      <c r="C4" s="13" t="s">
        <v>56</v>
      </c>
      <c r="D4" s="13" t="s">
        <v>57</v>
      </c>
      <c r="E4" s="13" t="s">
        <v>58</v>
      </c>
      <c r="F4" s="13" t="s">
        <v>59</v>
      </c>
      <c r="G4" s="13" t="s">
        <v>60</v>
      </c>
      <c r="H4" s="13" t="s">
        <v>61</v>
      </c>
      <c r="I4" s="13" t="s">
        <v>62</v>
      </c>
    </row>
    <row r="5" spans="1:9" x14ac:dyDescent="0.25">
      <c r="A5" s="4" t="s">
        <v>63</v>
      </c>
      <c r="B5" s="4">
        <v>34784</v>
      </c>
      <c r="C5" s="4">
        <v>750</v>
      </c>
      <c r="D5" s="4">
        <v>22.02</v>
      </c>
      <c r="E5" s="6">
        <v>50</v>
      </c>
      <c r="F5" s="4">
        <f>(B5/E5)*C5</f>
        <v>521759.99999999994</v>
      </c>
      <c r="G5" s="4">
        <f>(E5/2)*D5</f>
        <v>550.5</v>
      </c>
      <c r="H5" s="4">
        <f>F5+G5</f>
        <v>522310.49999999994</v>
      </c>
      <c r="I5" s="4">
        <f>SQRT(2*B5*C5/D5)</f>
        <v>1539.3122778787733</v>
      </c>
    </row>
    <row r="6" spans="1:9" x14ac:dyDescent="0.25">
      <c r="A6" s="4" t="s">
        <v>64</v>
      </c>
      <c r="B6" s="4">
        <v>34465</v>
      </c>
      <c r="C6" s="4">
        <v>750</v>
      </c>
      <c r="D6" s="4">
        <v>28.37</v>
      </c>
      <c r="E6" s="6">
        <v>50</v>
      </c>
      <c r="F6" s="4">
        <f>(B6/E6)*C6</f>
        <v>516974.99999999994</v>
      </c>
      <c r="G6" s="4">
        <f>(E6/2)*D6</f>
        <v>709.25</v>
      </c>
      <c r="H6" s="4">
        <f>F6+G6</f>
        <v>517684.24999999994</v>
      </c>
      <c r="I6" s="4">
        <f>SQRT(2*B6*C6/D6)</f>
        <v>1349.9108966795802</v>
      </c>
    </row>
    <row r="7" spans="1:9" x14ac:dyDescent="0.25">
      <c r="A7" s="4" t="s">
        <v>65</v>
      </c>
      <c r="B7" s="4">
        <v>40252</v>
      </c>
      <c r="C7" s="4">
        <v>750</v>
      </c>
      <c r="D7" s="4">
        <v>11.21</v>
      </c>
      <c r="E7" s="6">
        <v>50</v>
      </c>
      <c r="F7" s="4">
        <f>(B7/E7)*C7</f>
        <v>603780</v>
      </c>
      <c r="G7" s="4">
        <f>(E7/2)*D7</f>
        <v>280.25</v>
      </c>
      <c r="H7" s="4">
        <f>F7+G7</f>
        <v>604060.25</v>
      </c>
      <c r="I7" s="4">
        <f>SQRT(2*B7*C7/D7)</f>
        <v>2320.7937981867435</v>
      </c>
    </row>
    <row r="8" spans="1:9" x14ac:dyDescent="0.25">
      <c r="A8" s="4" t="s">
        <v>66</v>
      </c>
      <c r="B8" s="4">
        <v>24924</v>
      </c>
      <c r="C8" s="4">
        <v>750</v>
      </c>
      <c r="D8" s="4">
        <v>55.73</v>
      </c>
      <c r="E8" s="6">
        <v>50</v>
      </c>
      <c r="F8" s="4">
        <f>(B8/E8)*C8</f>
        <v>373860</v>
      </c>
      <c r="G8" s="4">
        <f>(E8/2)*D8</f>
        <v>1393.25</v>
      </c>
      <c r="H8" s="4">
        <f>F8+G8</f>
        <v>375253.25</v>
      </c>
      <c r="I8" s="4">
        <f>SQRT(2*B8*C8/D8)</f>
        <v>819.04917893214474</v>
      </c>
    </row>
    <row r="9" spans="1:9" x14ac:dyDescent="0.25">
      <c r="A9" s="4" t="s">
        <v>67</v>
      </c>
      <c r="B9" s="4">
        <v>8525</v>
      </c>
      <c r="C9" s="4">
        <v>750</v>
      </c>
      <c r="D9" s="4">
        <v>500</v>
      </c>
      <c r="E9" s="6">
        <v>50</v>
      </c>
      <c r="F9" s="4">
        <f>(B9/E9)*C9</f>
        <v>127875</v>
      </c>
      <c r="G9" s="4">
        <f>(E9/2)*D9</f>
        <v>12500</v>
      </c>
      <c r="H9" s="4">
        <f>F9+G9</f>
        <v>140375</v>
      </c>
      <c r="I9" s="4">
        <f>SQRT(2*B9*C9/D9)</f>
        <v>159.92185591719476</v>
      </c>
    </row>
    <row r="11" spans="1:9" x14ac:dyDescent="0.25">
      <c r="A11" s="5" t="s">
        <v>68</v>
      </c>
      <c r="B11" s="11">
        <f>SUM(H5:H9)</f>
        <v>2159683.25</v>
      </c>
    </row>
    <row r="13" spans="1:9" x14ac:dyDescent="0.25">
      <c r="A13" s="5" t="s">
        <v>69</v>
      </c>
    </row>
    <row r="14" spans="1:9" x14ac:dyDescent="0.25">
      <c r="A14" s="4" t="s">
        <v>70</v>
      </c>
    </row>
    <row r="15" spans="1:9" x14ac:dyDescent="0.25">
      <c r="A15" s="4" t="s">
        <v>71</v>
      </c>
    </row>
    <row r="16" spans="1:9" x14ac:dyDescent="0.25">
      <c r="A16" s="4" t="s">
        <v>72</v>
      </c>
    </row>
    <row r="17" spans="1:1" x14ac:dyDescent="0.25">
      <c r="A17" s="4" t="s">
        <v>73</v>
      </c>
    </row>
    <row r="18" spans="1:1" x14ac:dyDescent="0.25">
      <c r="A18" s="4" t="s">
        <v>74</v>
      </c>
    </row>
    <row r="19" spans="1:1" x14ac:dyDescent="0.25">
      <c r="A19" s="4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 - SKU Detail</vt:lpstr>
      <vt:lpstr>Sensitivity Calculator</vt:lpstr>
      <vt:lpstr>EOQ Solver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2026-08-15T13:45:11Z</dcterms:created>
  <dcterms:modified xsi:type="dcterms:W3CDTF">2026-08-15T13:49:11Z</dcterms:modified>
  <dc:language>en-US</dc:language>
</cp:coreProperties>
</file>